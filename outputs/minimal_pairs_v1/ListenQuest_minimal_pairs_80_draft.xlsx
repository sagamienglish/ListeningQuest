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t-nakamura/Documents/Codex/ListenQuest/outputs/minimal_pairs_v1/"/>
    </mc:Choice>
  </mc:AlternateContent>
  <xr:revisionPtr revIDLastSave="0" documentId="13_ncr:1_{2F6DA0E8-76C8-3947-8888-12092306C3CB}" xr6:coauthVersionLast="47" xr6:coauthVersionMax="47" xr10:uidLastSave="{00000000-0000-0000-0000-000000000000}"/>
  <bookViews>
    <workbookView xWindow="720" yWindow="600" windowWidth="24880" windowHeight="16040" activeTab="1" xr2:uid="{00000000-000D-0000-FFFF-FFFF00000000}"/>
  </bookViews>
  <sheets>
    <sheet name="概要" sheetId="1" r:id="rId1"/>
    <sheet name="ペア一覧" sheetId="2" r:id="rId2"/>
    <sheet name="カテゴリー概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F12" i="3"/>
  <c r="F11" i="3"/>
  <c r="F10" i="3"/>
  <c r="F9" i="3"/>
  <c r="F8" i="3"/>
  <c r="F7" i="3"/>
  <c r="F6" i="3"/>
  <c r="G6" i="1"/>
  <c r="E6" i="1"/>
  <c r="C6" i="1"/>
  <c r="A6" i="1"/>
</calcChain>
</file>

<file path=xl/sharedStrings.xml><?xml version="1.0" encoding="utf-8"?>
<sst xmlns="http://schemas.openxmlformats.org/spreadsheetml/2006/main" count="1212" uniqueCount="655">
  <si>
    <t>ListenQuest｜音素聞き分けペア候補（初期ドラフト）</t>
  </si>
  <si>
    <t>一般的なアメリカ英語を基準にした、8カテゴリー×10ペア＝80ペアのレビュー用候補です。IPA・日本語訳・採用可否は音声制作前に最終確認してください。</t>
  </si>
  <si>
    <t>収録ペア</t>
  </si>
  <si>
    <t>カテゴリー</t>
  </si>
  <si>
    <t>採用済み</t>
  </si>
  <si>
    <t>要修正</t>
  </si>
  <si>
    <t>確認手順</t>
  </si>
  <si>
    <t>1. 「ペア一覧」シートで各行の単語・IPA・日本語訳を確認します。</t>
  </si>
  <si>
    <t>2. N列「採用判定」を、未確認／採用／修正／除外から選択します。</t>
  </si>
  <si>
    <t>3. 修正や代替候補がある場合は、O列「レビューメモ」に記入します。</t>
  </si>
  <si>
    <t>4. 語彙難度が高めの語は選定メモに明記しています。必要なら日常語へ差し替えます。</t>
  </si>
  <si>
    <t>5. 音声制作時は複数話者で収録し、IPAと実音声が一致するか再確認します。</t>
  </si>
  <si>
    <t>参考・前提</t>
  </si>
  <si>
    <t>参考サイト: https://native-real.com/minimal-pairs/</t>
  </si>
  <si>
    <t>基準アクセント: General American（一般的なアメリカ英語）</t>
  </si>
  <si>
    <t>IPA方針: 学習用の広い音素表記。地域差・話者差による細部は音声制作時に確定します。</t>
  </si>
  <si>
    <t>注意: bow / liveなど複数の発音を持つ語は、この表に記載した意味とIPAを採用します。</t>
  </si>
  <si>
    <t>音素聞き分けペア一覧｜80候補</t>
  </si>
  <si>
    <t>黄色の列（採用判定・レビューメモ）を編集して確認してください。初期値はすべて「未確認」です。</t>
  </si>
  <si>
    <t>ID</t>
  </si>
  <si>
    <t>カテゴリID</t>
  </si>
  <si>
    <t>音素対比</t>
  </si>
  <si>
    <t>No.</t>
  </si>
  <si>
    <t>単語A</t>
  </si>
  <si>
    <t>IPA A</t>
  </si>
  <si>
    <t>日本語A</t>
  </si>
  <si>
    <t>単語B</t>
  </si>
  <si>
    <t>IPA B</t>
  </si>
  <si>
    <t>日本語B</t>
  </si>
  <si>
    <t>音の位置</t>
  </si>
  <si>
    <t>難易度案</t>
  </si>
  <si>
    <t>採用判定</t>
  </si>
  <si>
    <t>レビューメモ</t>
  </si>
  <si>
    <t>MP-001</t>
  </si>
  <si>
    <t>C01</t>
  </si>
  <si>
    <t>R / L</t>
  </si>
  <si>
    <t>/r/ – /l/</t>
  </si>
  <si>
    <t>right</t>
  </si>
  <si>
    <t>/raɪt/</t>
  </si>
  <si>
    <t>右、正しい</t>
  </si>
  <si>
    <t>light</t>
  </si>
  <si>
    <t>/laɪt/</t>
  </si>
  <si>
    <t>光、明るい</t>
  </si>
  <si>
    <t>語頭</t>
  </si>
  <si>
    <t>初級</t>
  </si>
  <si>
    <t>頻出語。代表ペア</t>
  </si>
  <si>
    <t>MP-002</t>
  </si>
  <si>
    <t>road</t>
  </si>
  <si>
    <t>/roʊd/</t>
  </si>
  <si>
    <t>道路</t>
  </si>
  <si>
    <t>load</t>
  </si>
  <si>
    <t>/loʊd/</t>
  </si>
  <si>
    <t>積み荷、積む</t>
  </si>
  <si>
    <t>同じ母音環境</t>
  </si>
  <si>
    <t>MP-003</t>
  </si>
  <si>
    <t>rock</t>
  </si>
  <si>
    <t>/rɑk/</t>
  </si>
  <si>
    <t>岩、ロック</t>
  </si>
  <si>
    <t>lock</t>
  </si>
  <si>
    <t>/lɑk/</t>
  </si>
  <si>
    <t>錠、鍵をかける</t>
  </si>
  <si>
    <t>短く聞き取りやすい</t>
  </si>
  <si>
    <t>MP-004</t>
  </si>
  <si>
    <t>rice</t>
  </si>
  <si>
    <t>/raɪs/</t>
  </si>
  <si>
    <t>米</t>
  </si>
  <si>
    <t>lice</t>
  </si>
  <si>
    <t>/laɪs/</t>
  </si>
  <si>
    <t>シラミ（複数）</t>
  </si>
  <si>
    <t>意味差が大きい</t>
  </si>
  <si>
    <t>MP-005</t>
  </si>
  <si>
    <t>rain</t>
  </si>
  <si>
    <t>/reɪn/</t>
  </si>
  <si>
    <t>雨</t>
  </si>
  <si>
    <t>lane</t>
  </si>
  <si>
    <t>/leɪn/</t>
  </si>
  <si>
    <t>車線、小道</t>
  </si>
  <si>
    <t>頻出語</t>
  </si>
  <si>
    <t>MP-006</t>
  </si>
  <si>
    <t>rake</t>
  </si>
  <si>
    <t>/reɪk/</t>
  </si>
  <si>
    <t>熊手、かき集める</t>
  </si>
  <si>
    <t>lake</t>
  </si>
  <si>
    <t>/leɪk/</t>
  </si>
  <si>
    <t>湖</t>
  </si>
  <si>
    <t>同じ韻</t>
  </si>
  <si>
    <t>MP-007</t>
  </si>
  <si>
    <t>root</t>
  </si>
  <si>
    <t>/ruːt/</t>
  </si>
  <si>
    <t>根</t>
  </si>
  <si>
    <t>loot</t>
  </si>
  <si>
    <t>/luːt/</t>
  </si>
  <si>
    <t>略奪品、略奪する</t>
  </si>
  <si>
    <t>中級</t>
  </si>
  <si>
    <t>語彙難度はやや高め</t>
  </si>
  <si>
    <t>MP-008</t>
  </si>
  <si>
    <t>fry</t>
  </si>
  <si>
    <t>/fraɪ/</t>
  </si>
  <si>
    <t>揚げる</t>
  </si>
  <si>
    <t>fly</t>
  </si>
  <si>
    <t>/flaɪ/</t>
  </si>
  <si>
    <t>飛ぶ、ハエ</t>
  </si>
  <si>
    <t>子音連続</t>
  </si>
  <si>
    <t>Fの後のR/L</t>
  </si>
  <si>
    <t>MP-009</t>
  </si>
  <si>
    <t>pray</t>
  </si>
  <si>
    <t>/preɪ/</t>
  </si>
  <si>
    <t>祈る</t>
  </si>
  <si>
    <t>play</t>
  </si>
  <si>
    <t>/pleɪ/</t>
  </si>
  <si>
    <t>遊ぶ、演奏する</t>
  </si>
  <si>
    <t>Pの後のR/L</t>
  </si>
  <si>
    <t>MP-010</t>
  </si>
  <si>
    <t>correct</t>
  </si>
  <si>
    <t>/kəˈrɛkt/</t>
  </si>
  <si>
    <t>正しい、訂正する</t>
  </si>
  <si>
    <t>collect</t>
  </si>
  <si>
    <t>/kəˈlɛkt/</t>
  </si>
  <si>
    <t>集める</t>
  </si>
  <si>
    <t>語中</t>
  </si>
  <si>
    <t>第2音節のR/L</t>
  </si>
  <si>
    <t>MP-011</t>
  </si>
  <si>
    <t>C02</t>
  </si>
  <si>
    <t>sheep / ship 母音</t>
  </si>
  <si>
    <t>/iː/ – /ɪ/</t>
  </si>
  <si>
    <t>sheep</t>
  </si>
  <si>
    <t>/ʃiːp/</t>
  </si>
  <si>
    <t>羊</t>
  </si>
  <si>
    <t>ship</t>
  </si>
  <si>
    <t>/ʃɪp/</t>
  </si>
  <si>
    <t>船</t>
  </si>
  <si>
    <t>語中母音</t>
  </si>
  <si>
    <t>代表ペア</t>
  </si>
  <si>
    <t>MP-012</t>
  </si>
  <si>
    <t>seat</t>
  </si>
  <si>
    <t>/siːt/</t>
  </si>
  <si>
    <t>座席</t>
  </si>
  <si>
    <t>sit</t>
  </si>
  <si>
    <t>/sɪt/</t>
  </si>
  <si>
    <t>座る</t>
  </si>
  <si>
    <t>MP-013</t>
  </si>
  <si>
    <t>leave</t>
  </si>
  <si>
    <t>/liːv/</t>
  </si>
  <si>
    <t>去る、残す</t>
  </si>
  <si>
    <t>live</t>
  </si>
  <si>
    <t>/lɪv/</t>
  </si>
  <si>
    <t>住む、生きる</t>
  </si>
  <si>
    <t>liveは動詞の発音</t>
  </si>
  <si>
    <t>MP-014</t>
  </si>
  <si>
    <t>feel</t>
  </si>
  <si>
    <t>/fiːl/</t>
  </si>
  <si>
    <t>感じる</t>
  </si>
  <si>
    <t>fill</t>
  </si>
  <si>
    <t>/fɪl/</t>
  </si>
  <si>
    <t>満たす</t>
  </si>
  <si>
    <t>NativeRealにも近い代表例</t>
  </si>
  <si>
    <t>MP-015</t>
  </si>
  <si>
    <t>beat</t>
  </si>
  <si>
    <t>/biːt/</t>
  </si>
  <si>
    <t>打つ、拍子</t>
  </si>
  <si>
    <t>bit</t>
  </si>
  <si>
    <t>/bɪt/</t>
  </si>
  <si>
    <t>少し、噛んだ</t>
  </si>
  <si>
    <t>MP-016</t>
  </si>
  <si>
    <t>heat</t>
  </si>
  <si>
    <t>/hiːt/</t>
  </si>
  <si>
    <t>熱</t>
  </si>
  <si>
    <t>hit</t>
  </si>
  <si>
    <t>/hɪt/</t>
  </si>
  <si>
    <t>打つ</t>
  </si>
  <si>
    <t>短い単語</t>
  </si>
  <si>
    <t>MP-017</t>
  </si>
  <si>
    <t>heel</t>
  </si>
  <si>
    <t>/hiːl/</t>
  </si>
  <si>
    <t>かかと</t>
  </si>
  <si>
    <t>hill</t>
  </si>
  <si>
    <t>/hɪl/</t>
  </si>
  <si>
    <t>丘</t>
  </si>
  <si>
    <t>同じ子音枠</t>
  </si>
  <si>
    <t>MP-018</t>
  </si>
  <si>
    <t>reach</t>
  </si>
  <si>
    <t>/riːtʃ/</t>
  </si>
  <si>
    <t>届く</t>
  </si>
  <si>
    <t>rich</t>
  </si>
  <si>
    <t>/rɪtʃ/</t>
  </si>
  <si>
    <t>裕福な</t>
  </si>
  <si>
    <t>R環境での母音</t>
  </si>
  <si>
    <t>MP-019</t>
  </si>
  <si>
    <t>peach</t>
  </si>
  <si>
    <t>/piːtʃ/</t>
  </si>
  <si>
    <t>桃</t>
  </si>
  <si>
    <t>pitch</t>
  </si>
  <si>
    <t>/pɪtʃ/</t>
  </si>
  <si>
    <t>投げる、音の高さ</t>
  </si>
  <si>
    <t>語末CH環境</t>
  </si>
  <si>
    <t>MP-020</t>
  </si>
  <si>
    <t>sleep</t>
  </si>
  <si>
    <t>/sliːp/</t>
  </si>
  <si>
    <t>眠る</t>
  </si>
  <si>
    <t>slip</t>
  </si>
  <si>
    <t>/slɪp/</t>
  </si>
  <si>
    <t>滑る</t>
  </si>
  <si>
    <t>子音連続を含む</t>
  </si>
  <si>
    <t>MP-021</t>
  </si>
  <si>
    <t>C03</t>
  </si>
  <si>
    <t>bad / bed 母音</t>
  </si>
  <si>
    <t>/æ/ – /ɛ/</t>
  </si>
  <si>
    <t>bad</t>
  </si>
  <si>
    <t>/bæd/</t>
  </si>
  <si>
    <t>悪い</t>
  </si>
  <si>
    <t>bed</t>
  </si>
  <si>
    <t>/bɛd/</t>
  </si>
  <si>
    <t>ベッド</t>
  </si>
  <si>
    <t>MP-022</t>
  </si>
  <si>
    <t>man</t>
  </si>
  <si>
    <t>/mæn/</t>
  </si>
  <si>
    <t>男性</t>
  </si>
  <si>
    <t>men</t>
  </si>
  <si>
    <t>/mɛn/</t>
  </si>
  <si>
    <t>男性たち</t>
  </si>
  <si>
    <t>単複の意味差</t>
  </si>
  <si>
    <t>MP-023</t>
  </si>
  <si>
    <t>sat</t>
  </si>
  <si>
    <t>/sæt/</t>
  </si>
  <si>
    <t>座った</t>
  </si>
  <si>
    <t>set</t>
  </si>
  <si>
    <t>/sɛt/</t>
  </si>
  <si>
    <t>置く、組</t>
  </si>
  <si>
    <t>MP-024</t>
  </si>
  <si>
    <t>land</t>
  </si>
  <si>
    <t>/lænd/</t>
  </si>
  <si>
    <t>土地、着陸する</t>
  </si>
  <si>
    <t>lend</t>
  </si>
  <si>
    <t>/lɛnd/</t>
  </si>
  <si>
    <t>貸す</t>
  </si>
  <si>
    <t>語末子音連続</t>
  </si>
  <si>
    <t>MP-025</t>
  </si>
  <si>
    <t>bat</t>
  </si>
  <si>
    <t>/bæt/</t>
  </si>
  <si>
    <t>バット、コウモリ</t>
  </si>
  <si>
    <t>bet</t>
  </si>
  <si>
    <t>/bɛt/</t>
  </si>
  <si>
    <t>賭ける</t>
  </si>
  <si>
    <t>MP-026</t>
  </si>
  <si>
    <t>pan</t>
  </si>
  <si>
    <t>/pæn/</t>
  </si>
  <si>
    <t>フライパン</t>
  </si>
  <si>
    <t>pen</t>
  </si>
  <si>
    <t>/pɛn/</t>
  </si>
  <si>
    <t>ペン</t>
  </si>
  <si>
    <t>身近な名詞</t>
  </si>
  <si>
    <t>MP-027</t>
  </si>
  <si>
    <t>sad</t>
  </si>
  <si>
    <t>/sæd/</t>
  </si>
  <si>
    <t>悲しい</t>
  </si>
  <si>
    <t>said</t>
  </si>
  <si>
    <t>/sɛd/</t>
  </si>
  <si>
    <t>言った</t>
  </si>
  <si>
    <t>つづりに惑わされやすい</t>
  </si>
  <si>
    <t>MP-028</t>
  </si>
  <si>
    <t>and</t>
  </si>
  <si>
    <t>/ænd/</t>
  </si>
  <si>
    <t>そして</t>
  </si>
  <si>
    <t>end</t>
  </si>
  <si>
    <t>/ɛnd/</t>
  </si>
  <si>
    <t>終わり、終える</t>
  </si>
  <si>
    <t>機能語と内容語</t>
  </si>
  <si>
    <t>MP-029</t>
  </si>
  <si>
    <t>jam</t>
  </si>
  <si>
    <t>/dʒæm/</t>
  </si>
  <si>
    <t>ジャム、詰まる</t>
  </si>
  <si>
    <t>gem</t>
  </si>
  <si>
    <t>/dʒɛm/</t>
  </si>
  <si>
    <t>宝石、逸品</t>
  </si>
  <si>
    <t>J環境での母音</t>
  </si>
  <si>
    <t>MP-030</t>
  </si>
  <si>
    <t>cattle</t>
  </si>
  <si>
    <t>/ˈkætəl/</t>
  </si>
  <si>
    <t>牛（集合）</t>
  </si>
  <si>
    <t>kettle</t>
  </si>
  <si>
    <t>/ˈkɛtəl/</t>
  </si>
  <si>
    <t>やかん</t>
  </si>
  <si>
    <t>第1音節</t>
  </si>
  <si>
    <t>2音節語</t>
  </si>
  <si>
    <t>MP-031</t>
  </si>
  <si>
    <t>C04</t>
  </si>
  <si>
    <t>cap / cup 母音</t>
  </si>
  <si>
    <t>/æ/ – /ʌ/</t>
  </si>
  <si>
    <t>cap</t>
  </si>
  <si>
    <t>/kæp/</t>
  </si>
  <si>
    <t>帽子、上限</t>
  </si>
  <si>
    <t>cup</t>
  </si>
  <si>
    <t>/kʌp/</t>
  </si>
  <si>
    <t>カップ</t>
  </si>
  <si>
    <t>MP-032</t>
  </si>
  <si>
    <t>but</t>
  </si>
  <si>
    <t>/bʌt/</t>
  </si>
  <si>
    <t>しかし</t>
  </si>
  <si>
    <t>MP-033</t>
  </si>
  <si>
    <t>ran</t>
  </si>
  <si>
    <t>/ræn/</t>
  </si>
  <si>
    <t>走った</t>
  </si>
  <si>
    <t>run</t>
  </si>
  <si>
    <t>/rʌn/</t>
  </si>
  <si>
    <t>走る</t>
  </si>
  <si>
    <t>同一動詞の時制差</t>
  </si>
  <si>
    <t>MP-034</t>
  </si>
  <si>
    <t>bud</t>
  </si>
  <si>
    <t>/bʌd/</t>
  </si>
  <si>
    <t>つぼみ</t>
  </si>
  <si>
    <t>MP-035</t>
  </si>
  <si>
    <t>hat</t>
  </si>
  <si>
    <t>/hæt/</t>
  </si>
  <si>
    <t>帽子</t>
  </si>
  <si>
    <t>hut</t>
  </si>
  <si>
    <t>/hʌt/</t>
  </si>
  <si>
    <t>小屋</t>
  </si>
  <si>
    <t>MP-036</t>
  </si>
  <si>
    <t>match</t>
  </si>
  <si>
    <t>/mætʃ/</t>
  </si>
  <si>
    <t>試合、合う</t>
  </si>
  <si>
    <t>much</t>
  </si>
  <si>
    <t>/mʌtʃ/</t>
  </si>
  <si>
    <t>多くの</t>
  </si>
  <si>
    <t>MP-037</t>
  </si>
  <si>
    <t>stack</t>
  </si>
  <si>
    <t>/stæk/</t>
  </si>
  <si>
    <t>積み重ねる</t>
  </si>
  <si>
    <t>stuck</t>
  </si>
  <si>
    <t>/stʌk/</t>
  </si>
  <si>
    <t>動けない、刺さった</t>
  </si>
  <si>
    <t>MP-038</t>
  </si>
  <si>
    <t>ankle</t>
  </si>
  <si>
    <t>/ˈæŋkəl/</t>
  </si>
  <si>
    <t>足首</t>
  </si>
  <si>
    <t>uncle</t>
  </si>
  <si>
    <t>/ˈʌŋkəl/</t>
  </si>
  <si>
    <t>おじ</t>
  </si>
  <si>
    <t>MP-039</t>
  </si>
  <si>
    <t>rang</t>
  </si>
  <si>
    <t>/ræŋ/</t>
  </si>
  <si>
    <t>鳴った</t>
  </si>
  <si>
    <t>rung</t>
  </si>
  <si>
    <t>/rʌŋ/</t>
  </si>
  <si>
    <t>鳴らした／はしごの段</t>
  </si>
  <si>
    <t>NG環境での母音</t>
  </si>
  <si>
    <t>MP-040</t>
  </si>
  <si>
    <t>lack</t>
  </si>
  <si>
    <t>/læk/</t>
  </si>
  <si>
    <t>不足、欠く</t>
  </si>
  <si>
    <t>luck</t>
  </si>
  <si>
    <t>/lʌk/</t>
  </si>
  <si>
    <t>運</t>
  </si>
  <si>
    <t>MP-041</t>
  </si>
  <si>
    <t>C05</t>
  </si>
  <si>
    <t>B / V</t>
  </si>
  <si>
    <t>/b/ – /v/</t>
  </si>
  <si>
    <t>berry</t>
  </si>
  <si>
    <t>/ˈbɛri/</t>
  </si>
  <si>
    <t>ベリー類</t>
  </si>
  <si>
    <t>very</t>
  </si>
  <si>
    <t>/ˈvɛri/</t>
  </si>
  <si>
    <t>とても</t>
  </si>
  <si>
    <t>MP-042</t>
  </si>
  <si>
    <t>ban</t>
  </si>
  <si>
    <t>/bæn/</t>
  </si>
  <si>
    <t>禁止する</t>
  </si>
  <si>
    <t>van</t>
  </si>
  <si>
    <t>/væn/</t>
  </si>
  <si>
    <t>バン、貨物車</t>
  </si>
  <si>
    <t>MP-043</t>
  </si>
  <si>
    <t>boat</t>
  </si>
  <si>
    <t>/boʊt/</t>
  </si>
  <si>
    <t>ボート</t>
  </si>
  <si>
    <t>vote</t>
  </si>
  <si>
    <t>/voʊt/</t>
  </si>
  <si>
    <t>投票する</t>
  </si>
  <si>
    <t>MP-044</t>
  </si>
  <si>
    <t>best</t>
  </si>
  <si>
    <t>/bɛst/</t>
  </si>
  <si>
    <t>最良の</t>
  </si>
  <si>
    <t>vest</t>
  </si>
  <si>
    <t>/vɛst/</t>
  </si>
  <si>
    <t>ベスト、チョッキ</t>
  </si>
  <si>
    <t>MP-045</t>
  </si>
  <si>
    <t>bow</t>
  </si>
  <si>
    <t>/baʊ/</t>
  </si>
  <si>
    <t>お辞儀する</t>
  </si>
  <si>
    <t>vow</t>
  </si>
  <si>
    <t>/vaʊ/</t>
  </si>
  <si>
    <t>誓う、誓い</t>
  </si>
  <si>
    <t>bowは/baʊ/の意味を採用</t>
  </si>
  <si>
    <t>MP-046</t>
  </si>
  <si>
    <t>bale</t>
  </si>
  <si>
    <t>/beɪl/</t>
  </si>
  <si>
    <t>梱、俵</t>
  </si>
  <si>
    <t>veil</t>
  </si>
  <si>
    <t>/veɪl/</t>
  </si>
  <si>
    <t>ベール、覆い</t>
  </si>
  <si>
    <t>MP-047</t>
  </si>
  <si>
    <t>vat</t>
  </si>
  <si>
    <t>/væt/</t>
  </si>
  <si>
    <t>大桶</t>
  </si>
  <si>
    <t>vatの語彙難度に注意</t>
  </si>
  <si>
    <t>MP-048</t>
  </si>
  <si>
    <t>beer</t>
  </si>
  <si>
    <t>/bɪr/</t>
  </si>
  <si>
    <t>ビール</t>
  </si>
  <si>
    <t>veer</t>
  </si>
  <si>
    <t>/vɪr/</t>
  </si>
  <si>
    <t>急に向きを変える</t>
  </si>
  <si>
    <t>R母音環境</t>
  </si>
  <si>
    <t>MP-049</t>
  </si>
  <si>
    <t>bent</t>
  </si>
  <si>
    <t>/bɛnt/</t>
  </si>
  <si>
    <t>曲がった</t>
  </si>
  <si>
    <t>vent</t>
  </si>
  <si>
    <t>/vɛnt/</t>
  </si>
  <si>
    <t>通気口、発散する</t>
  </si>
  <si>
    <t>MP-050</t>
  </si>
  <si>
    <t>curb</t>
  </si>
  <si>
    <t>/kɝb/</t>
  </si>
  <si>
    <t>縁石、抑制する</t>
  </si>
  <si>
    <t>curve</t>
  </si>
  <si>
    <t>/kɝv/</t>
  </si>
  <si>
    <t>曲線、曲がる</t>
  </si>
  <si>
    <t>語末</t>
  </si>
  <si>
    <t>語末B/Vの識別</t>
  </si>
  <si>
    <t>MP-051</t>
  </si>
  <si>
    <t>C06</t>
  </si>
  <si>
    <t>S / TH</t>
  </si>
  <si>
    <t>/s/ – /θ/</t>
  </si>
  <si>
    <t>sink</t>
  </si>
  <si>
    <t>/sɪŋk/</t>
  </si>
  <si>
    <t>沈む、流し台</t>
  </si>
  <si>
    <t>think</t>
  </si>
  <si>
    <t>/θɪŋk/</t>
  </si>
  <si>
    <t>考える</t>
  </si>
  <si>
    <t>MP-052</t>
  </si>
  <si>
    <t>sin</t>
  </si>
  <si>
    <t>/sɪn/</t>
  </si>
  <si>
    <t>罪</t>
  </si>
  <si>
    <t>thin</t>
  </si>
  <si>
    <t>/θɪn/</t>
  </si>
  <si>
    <t>薄い、細い</t>
  </si>
  <si>
    <t>MP-053</t>
  </si>
  <si>
    <t>sank</t>
  </si>
  <si>
    <t>/sæŋk/</t>
  </si>
  <si>
    <t>沈んだ</t>
  </si>
  <si>
    <t>thank</t>
  </si>
  <si>
    <t>/θæŋk/</t>
  </si>
  <si>
    <t>感謝する</t>
  </si>
  <si>
    <t>頻出語を含む</t>
  </si>
  <si>
    <t>MP-054</t>
  </si>
  <si>
    <t>sigh</t>
  </si>
  <si>
    <t>/saɪ/</t>
  </si>
  <si>
    <t>ため息をつく</t>
  </si>
  <si>
    <t>thigh</t>
  </si>
  <si>
    <t>/θaɪ/</t>
  </si>
  <si>
    <t>太もも</t>
  </si>
  <si>
    <t>同じ二重母音</t>
  </si>
  <si>
    <t>MP-055</t>
  </si>
  <si>
    <t>sick</t>
  </si>
  <si>
    <t>/sɪk/</t>
  </si>
  <si>
    <t>病気の</t>
  </si>
  <si>
    <t>thick</t>
  </si>
  <si>
    <t>/θɪk/</t>
  </si>
  <si>
    <t>厚い</t>
  </si>
  <si>
    <t>頻出形容詞</t>
  </si>
  <si>
    <t>MP-056</t>
  </si>
  <si>
    <t>sum</t>
  </si>
  <si>
    <t>/sʌm/</t>
  </si>
  <si>
    <t>合計</t>
  </si>
  <si>
    <t>thumb</t>
  </si>
  <si>
    <t>/θʌm/</t>
  </si>
  <si>
    <t>親指</t>
  </si>
  <si>
    <t>thumbのBは発音しない</t>
  </si>
  <si>
    <t>MP-057</t>
  </si>
  <si>
    <t>saw</t>
  </si>
  <si>
    <t>/sɔ/</t>
  </si>
  <si>
    <t>見た、のこぎり</t>
  </si>
  <si>
    <t>thaw</t>
  </si>
  <si>
    <t>/θɔ/</t>
  </si>
  <si>
    <t>解ける、解凍する</t>
  </si>
  <si>
    <t>MP-058</t>
  </si>
  <si>
    <t>mouse</t>
  </si>
  <si>
    <t>/maʊs/</t>
  </si>
  <si>
    <t>ネズミ</t>
  </si>
  <si>
    <t>mouth</t>
  </si>
  <si>
    <t>/maʊθ/</t>
  </si>
  <si>
    <t>口</t>
  </si>
  <si>
    <t>語末S/TH</t>
  </si>
  <si>
    <t>MP-059</t>
  </si>
  <si>
    <t>mass</t>
  </si>
  <si>
    <t>/mæs/</t>
  </si>
  <si>
    <t>質量、大量</t>
  </si>
  <si>
    <t>math</t>
  </si>
  <si>
    <t>/mæθ/</t>
  </si>
  <si>
    <t>数学</t>
  </si>
  <si>
    <t>MP-060</t>
  </si>
  <si>
    <t>pass</t>
  </si>
  <si>
    <t>/pæs/</t>
  </si>
  <si>
    <t>通る、合格する</t>
  </si>
  <si>
    <t>path</t>
  </si>
  <si>
    <t>/pæθ/</t>
  </si>
  <si>
    <t>道、小道</t>
  </si>
  <si>
    <t>一般米語基準</t>
  </si>
  <si>
    <t>MP-061</t>
  </si>
  <si>
    <t>C07</t>
  </si>
  <si>
    <t>W / V</t>
  </si>
  <si>
    <t>/w/ – /v/</t>
  </si>
  <si>
    <t>west</t>
  </si>
  <si>
    <t>/wɛst/</t>
  </si>
  <si>
    <t>西</t>
  </si>
  <si>
    <t>MP-062</t>
  </si>
  <si>
    <t>wine</t>
  </si>
  <si>
    <t>/waɪn/</t>
  </si>
  <si>
    <t>ワイン</t>
  </si>
  <si>
    <t>vine</t>
  </si>
  <si>
    <t>/vaɪn/</t>
  </si>
  <si>
    <t>つる植物</t>
  </si>
  <si>
    <t>MP-063</t>
  </si>
  <si>
    <t>wet</t>
  </si>
  <si>
    <t>/wɛt/</t>
  </si>
  <si>
    <t>濡れた</t>
  </si>
  <si>
    <t>vet</t>
  </si>
  <si>
    <t>/vɛt/</t>
  </si>
  <si>
    <t>獣医、詳しく調べる</t>
  </si>
  <si>
    <t>MP-064</t>
  </si>
  <si>
    <t>worse</t>
  </si>
  <si>
    <t>/wɝs/</t>
  </si>
  <si>
    <t>より悪い</t>
  </si>
  <si>
    <t>verse</t>
  </si>
  <si>
    <t>/vɝs/</t>
  </si>
  <si>
    <t>詩、節</t>
  </si>
  <si>
    <t>MP-065</t>
  </si>
  <si>
    <t>while</t>
  </si>
  <si>
    <t>/waɪl/</t>
  </si>
  <si>
    <t>～の間</t>
  </si>
  <si>
    <t>vile</t>
  </si>
  <si>
    <t>/vaɪl/</t>
  </si>
  <si>
    <t>ひどく不快な</t>
  </si>
  <si>
    <t>機能語を含む</t>
  </si>
  <si>
    <t>MP-066</t>
  </si>
  <si>
    <t>wheel</t>
  </si>
  <si>
    <t>/wiːl/</t>
  </si>
  <si>
    <t>車輪</t>
  </si>
  <si>
    <t>veal</t>
  </si>
  <si>
    <t>/viːl/</t>
  </si>
  <si>
    <t>子牛肉</t>
  </si>
  <si>
    <t>vealの語彙難度に注意</t>
  </si>
  <si>
    <t>MP-067</t>
  </si>
  <si>
    <t>went</t>
  </si>
  <si>
    <t>/wɛnt/</t>
  </si>
  <si>
    <t>行った</t>
  </si>
  <si>
    <t>MP-068</t>
  </si>
  <si>
    <t>wail</t>
  </si>
  <si>
    <t>/weɪl/</t>
  </si>
  <si>
    <t>泣き叫ぶ</t>
  </si>
  <si>
    <t>MP-069</t>
  </si>
  <si>
    <t>wow</t>
  </si>
  <si>
    <t>/waʊ/</t>
  </si>
  <si>
    <t>わあ、驚かせる</t>
  </si>
  <si>
    <t>MP-070</t>
  </si>
  <si>
    <t>wiper</t>
  </si>
  <si>
    <t>/ˈwaɪpɚ/</t>
  </si>
  <si>
    <t>ワイパー、拭く人</t>
  </si>
  <si>
    <t>viper</t>
  </si>
  <si>
    <t>/ˈvaɪpɚ/</t>
  </si>
  <si>
    <t>毒蛇</t>
  </si>
  <si>
    <t>MP-071</t>
  </si>
  <si>
    <t>C08</t>
  </si>
  <si>
    <t>N / NG</t>
  </si>
  <si>
    <t>/n/ – /ŋ/</t>
  </si>
  <si>
    <t>sing</t>
  </si>
  <si>
    <t>/sɪŋ/</t>
  </si>
  <si>
    <t>歌う</t>
  </si>
  <si>
    <t>MP-072</t>
  </si>
  <si>
    <t>win</t>
  </si>
  <si>
    <t>/wɪn/</t>
  </si>
  <si>
    <t>勝つ</t>
  </si>
  <si>
    <t>wing</t>
  </si>
  <si>
    <t>/wɪŋ/</t>
  </si>
  <si>
    <t>翼</t>
  </si>
  <si>
    <t>MP-073</t>
  </si>
  <si>
    <t>thing</t>
  </si>
  <si>
    <t>/θɪŋ/</t>
  </si>
  <si>
    <t>物、こと</t>
  </si>
  <si>
    <t>MP-074</t>
  </si>
  <si>
    <t>動詞の過去形</t>
  </si>
  <si>
    <t>MP-075</t>
  </si>
  <si>
    <t>bang</t>
  </si>
  <si>
    <t>/bæŋ/</t>
  </si>
  <si>
    <t>大きな音、強く打つ</t>
  </si>
  <si>
    <t>MP-076</t>
  </si>
  <si>
    <t>sun</t>
  </si>
  <si>
    <t>/sʌn/</t>
  </si>
  <si>
    <t>太陽</t>
  </si>
  <si>
    <t>sung</t>
  </si>
  <si>
    <t>/sʌŋ/</t>
  </si>
  <si>
    <t>歌った（過去分詞）</t>
  </si>
  <si>
    <t>MP-077</t>
  </si>
  <si>
    <t>はしごの段／鳴らした</t>
  </si>
  <si>
    <t>MP-078</t>
  </si>
  <si>
    <t>ton</t>
  </si>
  <si>
    <t>/tʌn/</t>
  </si>
  <si>
    <t>トン、大量</t>
  </si>
  <si>
    <t>tongue</t>
  </si>
  <si>
    <t>/tʌŋ/</t>
  </si>
  <si>
    <t>舌、言語</t>
  </si>
  <si>
    <t>つづりと発音の差に注意</t>
  </si>
  <si>
    <t>MP-079</t>
  </si>
  <si>
    <t>done</t>
  </si>
  <si>
    <t>/dʌn/</t>
  </si>
  <si>
    <t>終わった、済んだ</t>
  </si>
  <si>
    <t>dung</t>
  </si>
  <si>
    <t>/dʌŋ/</t>
  </si>
  <si>
    <t>動物のふん</t>
  </si>
  <si>
    <t>dungの語彙難度に注意</t>
  </si>
  <si>
    <t>MP-080</t>
  </si>
  <si>
    <t>kin</t>
  </si>
  <si>
    <t>/kɪn/</t>
  </si>
  <si>
    <t>親族</t>
  </si>
  <si>
    <t>king</t>
  </si>
  <si>
    <t>/kɪŋ/</t>
  </si>
  <si>
    <t>王</t>
  </si>
  <si>
    <t>kinの語彙難度に注意</t>
  </si>
  <si>
    <t>カテゴリー概要</t>
  </si>
  <si>
    <t>収録数は「ペア一覧」から自動集計されます。各カテゴリー10ペアになっていることを確認できます。</t>
  </si>
  <si>
    <t>表示名</t>
  </si>
  <si>
    <t>代表例</t>
  </si>
  <si>
    <t>学習ねらい</t>
  </si>
  <si>
    <t>収録数</t>
  </si>
  <si>
    <t>初期優先度</t>
  </si>
  <si>
    <t>確認メモ</t>
  </si>
  <si>
    <t>right / light</t>
  </si>
  <si>
    <t>日本語で同一視されやすい流音を、語頭・子音連続・語中で識別する</t>
  </si>
  <si>
    <t>最優先</t>
  </si>
  <si>
    <t>sheep / ship</t>
  </si>
  <si>
    <t>長さだけでなく母音の音質・舌位置の差を識別する</t>
  </si>
  <si>
    <t>bad / bed</t>
  </si>
  <si>
    <t>日本語のア・エに収まりにくい前舌母音を識別する</t>
  </si>
  <si>
    <t>高</t>
  </si>
  <si>
    <t>cap / cup</t>
  </si>
  <si>
    <t>日本語でアに近く聞こえやすい2母音を識別する</t>
  </si>
  <si>
    <t>berry / very</t>
  </si>
  <si>
    <t>破裂音 /b/ と摩擦音 /v/ を識別する</t>
  </si>
  <si>
    <t>sink / think</t>
  </si>
  <si>
    <t>歯茎摩擦音 /s/ と歯間摩擦音 /θ/ を識別する</t>
  </si>
  <si>
    <t>west / vest</t>
  </si>
  <si>
    <t>接近音 /w/ と摩擦音 /v/ を識別する</t>
  </si>
  <si>
    <t>sin / sing</t>
  </si>
  <si>
    <t>語末の歯茎鼻音と軟口蓋鼻音を識別する</t>
  </si>
  <si>
    <t>採用</t>
  </si>
  <si>
    <t>除外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</si>
</sst>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8"/>
      <color rgb="FFFFFFFF"/>
      <name val="Carlito"/>
    </font>
    <font>
      <sz val="11"/>
      <color rgb="FF264653"/>
      <name val="Carlito"/>
    </font>
    <font>
      <b/>
      <sz val="11"/>
      <color rgb="FF183B4E"/>
      <name val="Carlito"/>
    </font>
    <font>
      <b/>
      <sz val="18"/>
      <color rgb="FF183B4E"/>
      <name val="Carlito"/>
    </font>
    <font>
      <b/>
      <sz val="11"/>
      <color rgb="FFFFFFFF"/>
      <name val="Carlito"/>
    </font>
    <font>
      <sz val="11"/>
      <color rgb="FF263238"/>
      <name val="Carlito"/>
    </font>
    <font>
      <b/>
      <sz val="11"/>
      <color rgb="FF3D3420"/>
      <name val="Carlito"/>
    </font>
    <font>
      <sz val="11"/>
      <color rgb="FF4A4A4A"/>
      <name val="Carlito"/>
    </font>
    <font>
      <sz val="11"/>
      <color rgb="FF5E4B16"/>
      <name val="Carlito"/>
    </font>
    <font>
      <sz val="11"/>
      <color rgb="FF607D8B"/>
      <name val="Carlito"/>
    </font>
    <font>
      <sz val="11"/>
      <color rgb="FF1D5C63"/>
      <name val="Carlito"/>
    </font>
    <font>
      <sz val="11"/>
      <name val="Carlito"/>
    </font>
    <font>
      <sz val="6"/>
      <name val="Tsukushi A Round Gothic Bold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83B4E"/>
      </patternFill>
    </fill>
    <fill>
      <patternFill patternType="solid">
        <fgColor rgb="FFEAF2F5"/>
      </patternFill>
    </fill>
    <fill>
      <patternFill patternType="solid">
        <fgColor rgb="FFDDEBF0"/>
      </patternFill>
    </fill>
    <fill>
      <patternFill patternType="solid">
        <fgColor rgb="FF2A9D8F"/>
      </patternFill>
    </fill>
    <fill>
      <patternFill patternType="solid">
        <fgColor rgb="FFE9C46A"/>
      </patternFill>
    </fill>
    <fill>
      <patternFill patternType="solid">
        <fgColor rgb="FFFFF4CC"/>
      </patternFill>
    </fill>
    <fill>
      <patternFill patternType="solid">
        <fgColor rgb="FFFFF8DD"/>
      </patternFill>
    </fill>
  </fills>
  <borders count="9">
    <border>
      <left/>
      <right/>
      <top/>
      <bottom/>
      <diagonal/>
    </border>
    <border>
      <left style="thin">
        <color rgb="FFB8C7CE"/>
      </left>
      <right/>
      <top style="thin">
        <color rgb="FFB8C7CE"/>
      </top>
      <bottom/>
      <diagonal/>
    </border>
    <border>
      <left/>
      <right/>
      <top style="thin">
        <color rgb="FFB8C7CE"/>
      </top>
      <bottom/>
      <diagonal/>
    </border>
    <border>
      <left/>
      <right style="thin">
        <color rgb="FFB8C7CE"/>
      </right>
      <top style="thin">
        <color rgb="FFB8C7CE"/>
      </top>
      <bottom/>
      <diagonal/>
    </border>
    <border>
      <left style="thin">
        <color rgb="FFB8C7CE"/>
      </left>
      <right/>
      <top/>
      <bottom/>
      <diagonal/>
    </border>
    <border>
      <left/>
      <right style="thin">
        <color rgb="FFB8C7CE"/>
      </right>
      <top/>
      <bottom/>
      <diagonal/>
    </border>
    <border>
      <left style="thin">
        <color rgb="FFB8C7CE"/>
      </left>
      <right/>
      <top/>
      <bottom style="thin">
        <color rgb="FFB8C7CE"/>
      </bottom>
      <diagonal/>
    </border>
    <border>
      <left/>
      <right/>
      <top/>
      <bottom style="thin">
        <color rgb="FFB8C7CE"/>
      </bottom>
      <diagonal/>
    </border>
    <border>
      <left/>
      <right style="thin">
        <color rgb="FFB8C7CE"/>
      </right>
      <top/>
      <bottom style="thin">
        <color rgb="FFB8C7CE"/>
      </bottom>
      <diagonal/>
    </border>
  </borders>
  <cellStyleXfs count="2">
    <xf numFmtId="0" fontId="0" fillId="0" borderId="0"/>
    <xf numFmtId="0" fontId="12" fillId="0" borderId="0"/>
  </cellStyleXfs>
  <cellXfs count="26">
    <xf numFmtId="0" fontId="0" fillId="0" borderId="0" xfId="0"/>
    <xf numFmtId="0" fontId="0" fillId="8" borderId="0" xfId="1" applyFont="1" applyFill="1"/>
    <xf numFmtId="0" fontId="0" fillId="0" borderId="0" xfId="1" applyFont="1" applyAlignment="1">
      <alignment vertical="center"/>
    </xf>
    <xf numFmtId="0" fontId="0" fillId="8" borderId="0" xfId="1" applyFont="1" applyFill="1" applyAlignment="1">
      <alignment vertical="center"/>
    </xf>
    <xf numFmtId="0" fontId="0" fillId="0" borderId="0" xfId="1" applyFont="1" applyAlignment="1">
      <alignment vertical="center" wrapText="1"/>
    </xf>
    <xf numFmtId="0" fontId="0" fillId="8" borderId="0" xfId="1" applyFont="1" applyFill="1" applyAlignment="1">
      <alignment vertical="center" wrapText="1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wrapText="1"/>
    </xf>
    <xf numFmtId="0" fontId="3" fillId="4" borderId="1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5" fillId="5" borderId="0" xfId="1" applyFont="1" applyFill="1"/>
    <xf numFmtId="0" fontId="6" fillId="0" borderId="0" xfId="1" applyFont="1" applyAlignment="1">
      <alignment vertical="center" wrapText="1"/>
    </xf>
    <xf numFmtId="0" fontId="7" fillId="6" borderId="0" xfId="1" applyFont="1" applyFill="1"/>
    <xf numFmtId="0" fontId="8" fillId="0" borderId="0" xfId="1" applyFont="1" applyAlignment="1">
      <alignment wrapText="1"/>
    </xf>
    <xf numFmtId="0" fontId="9" fillId="7" borderId="0" xfId="1" applyFont="1" applyFill="1"/>
    <xf numFmtId="0" fontId="2" fillId="3" borderId="0" xfId="1" applyFont="1" applyFill="1"/>
  </cellXfs>
  <cellStyles count="2">
    <cellStyle name="Normal" xfId="1" xr:uid="{00000000-0005-0000-0000-000000000000}"/>
    <cellStyle name="標準" xfId="0" builtinId="0"/>
  </cellStyles>
  <dxfs count="4">
    <dxf>
      <font>
        <b/>
        <color rgb="FF1B5E20"/>
      </font>
      <fill>
        <patternFill patternType="solid">
          <bgColor rgb="FFD8F3DC"/>
        </patternFill>
      </fill>
    </dxf>
    <dxf>
      <font>
        <b/>
        <color rgb="FF8E1B1B"/>
      </font>
      <fill>
        <patternFill patternType="solid">
          <bgColor rgb="FFFFCDD2"/>
        </patternFill>
      </fill>
    </dxf>
    <dxf>
      <font>
        <b/>
        <color rgb="FFA34A00"/>
      </font>
      <fill>
        <patternFill patternType="solid">
          <bgColor rgb="FFFFE0B2"/>
        </patternFill>
      </fill>
    </dxf>
    <dxf>
      <font>
        <b/>
        <color rgb="FF1B5E20"/>
      </font>
      <fill>
        <patternFill patternType="solid">
          <bgColor rgb="FFD8F3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nimalPairsTable" displayName="MinimalPairsTable" ref="A4:O84" totalsRowShown="0">
  <autoFilter ref="A4:O84" xr:uid="{00000000-0009-0000-0100-000001000000}"/>
  <tableColumns count="15">
    <tableColumn id="1" xr3:uid="{00000000-0010-0000-0000-000001000000}" name="ID"/>
    <tableColumn id="2" xr3:uid="{00000000-0010-0000-0000-000002000000}" name="カテゴリID"/>
    <tableColumn id="3" xr3:uid="{00000000-0010-0000-0000-000003000000}" name="カテゴリー"/>
    <tableColumn id="4" xr3:uid="{00000000-0010-0000-0000-000004000000}" name="音素対比"/>
    <tableColumn id="5" xr3:uid="{00000000-0010-0000-0000-000005000000}" name="No."/>
    <tableColumn id="6" xr3:uid="{00000000-0010-0000-0000-000006000000}" name="単語A"/>
    <tableColumn id="7" xr3:uid="{00000000-0010-0000-0000-000007000000}" name="IPA A"/>
    <tableColumn id="8" xr3:uid="{00000000-0010-0000-0000-000008000000}" name="日本語A"/>
    <tableColumn id="9" xr3:uid="{00000000-0010-0000-0000-000009000000}" name="単語B"/>
    <tableColumn id="10" xr3:uid="{00000000-0010-0000-0000-00000A000000}" name="IPA B"/>
    <tableColumn id="11" xr3:uid="{00000000-0010-0000-0000-00000B000000}" name="日本語B"/>
    <tableColumn id="12" xr3:uid="{00000000-0010-0000-0000-00000C000000}" name="音の位置"/>
    <tableColumn id="13" xr3:uid="{00000000-0010-0000-0000-00000D000000}" name="難易度案"/>
    <tableColumn id="14" xr3:uid="{00000000-0010-0000-0000-00000E000000}" name="採用判定"/>
    <tableColumn id="15" xr3:uid="{00000000-0010-0000-0000-00000F000000}" name="レビュー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egorySummaryTable" displayName="CategorySummaryTable" ref="A5:H13" totalsRowShown="0">
  <tableColumns count="8">
    <tableColumn id="1" xr3:uid="{00000000-0010-0000-0100-000001000000}" name="カテゴリID"/>
    <tableColumn id="2" xr3:uid="{00000000-0010-0000-0100-000002000000}" name="表示名"/>
    <tableColumn id="3" xr3:uid="{00000000-0010-0000-0100-000003000000}" name="音素対比"/>
    <tableColumn id="4" xr3:uid="{00000000-0010-0000-0100-000004000000}" name="代表例"/>
    <tableColumn id="5" xr3:uid="{00000000-0010-0000-0100-000005000000}" name="学習ねらい"/>
    <tableColumn id="6" xr3:uid="{00000000-0010-0000-0100-000006000000}" name="収録数"/>
    <tableColumn id="7" xr3:uid="{00000000-0010-0000-0100-000007000000}" name="初期優先度"/>
    <tableColumn id="8" xr3:uid="{00000000-0010-0000-0100-000008000000}" name="確認メモ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baseColWidth="10" defaultColWidth="8.83203125" defaultRowHeight="14"/>
  <cols>
    <col min="1" max="8" width="14" customWidth="1"/>
  </cols>
  <sheetData>
    <row r="1" spans="1:8" ht="36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34" customHeight="1">
      <c r="A3" s="10" t="s">
        <v>1</v>
      </c>
      <c r="B3" s="10"/>
      <c r="C3" s="10"/>
      <c r="D3" s="10"/>
      <c r="E3" s="10"/>
      <c r="F3" s="10"/>
      <c r="G3" s="10"/>
      <c r="H3" s="10"/>
    </row>
    <row r="5" spans="1:8" ht="15">
      <c r="A5" s="11" t="s">
        <v>2</v>
      </c>
      <c r="B5" s="12"/>
      <c r="C5" s="12" t="s">
        <v>3</v>
      </c>
      <c r="D5" s="12"/>
      <c r="E5" s="12" t="s">
        <v>4</v>
      </c>
      <c r="F5" s="12"/>
      <c r="G5" s="12" t="s">
        <v>5</v>
      </c>
      <c r="H5" s="13"/>
    </row>
    <row r="6" spans="1:8" ht="26" customHeight="1">
      <c r="A6" s="14">
        <f>COUNTA(ペア一覧!$A$5:$A$84)</f>
        <v>80</v>
      </c>
      <c r="B6" s="15"/>
      <c r="C6" s="15">
        <f>COUNTA(カテゴリー概要!$A$6:$A$13)</f>
        <v>8</v>
      </c>
      <c r="D6" s="15"/>
      <c r="E6" s="15">
        <f>COUNTIF(ペア一覧!$N$5:$N$84,"採用")</f>
        <v>79</v>
      </c>
      <c r="F6" s="15"/>
      <c r="G6" s="15">
        <f>COUNTIF(ペア一覧!$N$5:$N$84,"修正")</f>
        <v>0</v>
      </c>
      <c r="H6" s="18"/>
    </row>
    <row r="7" spans="1:8" ht="26" customHeight="1">
      <c r="A7" s="16"/>
      <c r="B7" s="17"/>
      <c r="C7" s="17"/>
      <c r="D7" s="17"/>
      <c r="E7" s="17"/>
      <c r="F7" s="17"/>
      <c r="G7" s="17"/>
      <c r="H7" s="19"/>
    </row>
    <row r="9" spans="1:8" ht="15">
      <c r="A9" s="20" t="s">
        <v>6</v>
      </c>
      <c r="B9" s="20"/>
      <c r="C9" s="20"/>
      <c r="D9" s="20"/>
      <c r="E9" s="20"/>
      <c r="F9" s="20"/>
      <c r="G9" s="20"/>
      <c r="H9" s="20"/>
    </row>
    <row r="10" spans="1:8" ht="26" customHeight="1">
      <c r="A10" s="21" t="s">
        <v>7</v>
      </c>
      <c r="B10" s="21"/>
      <c r="C10" s="21"/>
      <c r="D10" s="21"/>
      <c r="E10" s="21"/>
      <c r="F10" s="21"/>
      <c r="G10" s="21"/>
      <c r="H10" s="21"/>
    </row>
    <row r="11" spans="1:8" ht="26" customHeight="1">
      <c r="A11" s="21" t="s">
        <v>8</v>
      </c>
      <c r="B11" s="21"/>
      <c r="C11" s="21"/>
      <c r="D11" s="21"/>
      <c r="E11" s="21"/>
      <c r="F11" s="21"/>
      <c r="G11" s="21"/>
      <c r="H11" s="21"/>
    </row>
    <row r="12" spans="1:8" ht="26" customHeight="1">
      <c r="A12" s="21" t="s">
        <v>9</v>
      </c>
      <c r="B12" s="21"/>
      <c r="C12" s="21"/>
      <c r="D12" s="21"/>
      <c r="E12" s="21"/>
      <c r="F12" s="21"/>
      <c r="G12" s="21"/>
      <c r="H12" s="21"/>
    </row>
    <row r="13" spans="1:8" ht="26" customHeight="1">
      <c r="A13" s="21" t="s">
        <v>10</v>
      </c>
      <c r="B13" s="21"/>
      <c r="C13" s="21"/>
      <c r="D13" s="21"/>
      <c r="E13" s="21"/>
      <c r="F13" s="21"/>
      <c r="G13" s="21"/>
      <c r="H13" s="21"/>
    </row>
    <row r="14" spans="1:8" ht="26" customHeight="1">
      <c r="A14" s="21" t="s">
        <v>11</v>
      </c>
      <c r="B14" s="21"/>
      <c r="C14" s="21"/>
      <c r="D14" s="21"/>
      <c r="E14" s="21"/>
      <c r="F14" s="21"/>
      <c r="G14" s="21"/>
      <c r="H14" s="21"/>
    </row>
    <row r="16" spans="1:8" ht="15">
      <c r="A16" s="22" t="s">
        <v>12</v>
      </c>
      <c r="B16" s="22"/>
      <c r="C16" s="22"/>
      <c r="D16" s="22"/>
      <c r="E16" s="22"/>
      <c r="F16" s="22"/>
      <c r="G16" s="22"/>
      <c r="H16" s="22"/>
    </row>
    <row r="17" spans="1:8" ht="24" customHeight="1">
      <c r="A17" s="23" t="s">
        <v>13</v>
      </c>
      <c r="B17" s="23"/>
      <c r="C17" s="23"/>
      <c r="D17" s="23"/>
      <c r="E17" s="23"/>
      <c r="F17" s="23"/>
      <c r="G17" s="23"/>
      <c r="H17" s="23"/>
    </row>
    <row r="18" spans="1:8" ht="24" customHeight="1">
      <c r="A18" s="23" t="s">
        <v>14</v>
      </c>
      <c r="B18" s="23"/>
      <c r="C18" s="23"/>
      <c r="D18" s="23"/>
      <c r="E18" s="23"/>
      <c r="F18" s="23"/>
      <c r="G18" s="23"/>
      <c r="H18" s="23"/>
    </row>
    <row r="19" spans="1:8" ht="24" customHeight="1">
      <c r="A19" s="23" t="s">
        <v>15</v>
      </c>
      <c r="B19" s="23"/>
      <c r="C19" s="23"/>
      <c r="D19" s="23"/>
      <c r="E19" s="23"/>
      <c r="F19" s="23"/>
      <c r="G19" s="23"/>
      <c r="H19" s="23"/>
    </row>
    <row r="20" spans="1:8" ht="24" customHeight="1">
      <c r="A20" s="23" t="s">
        <v>16</v>
      </c>
      <c r="B20" s="23"/>
      <c r="C20" s="23"/>
      <c r="D20" s="23"/>
      <c r="E20" s="23"/>
      <c r="F20" s="23"/>
      <c r="G20" s="23"/>
      <c r="H20" s="23"/>
    </row>
  </sheetData>
  <mergeCells count="21">
    <mergeCell ref="A16:H16"/>
    <mergeCell ref="A17:H17"/>
    <mergeCell ref="A18:H18"/>
    <mergeCell ref="A19:H19"/>
    <mergeCell ref="A20:H20"/>
    <mergeCell ref="A10:H10"/>
    <mergeCell ref="A11:H11"/>
    <mergeCell ref="A12:H12"/>
    <mergeCell ref="A13:H13"/>
    <mergeCell ref="A14:H14"/>
    <mergeCell ref="A6:B7"/>
    <mergeCell ref="C6:D7"/>
    <mergeCell ref="E6:F7"/>
    <mergeCell ref="G6:H7"/>
    <mergeCell ref="A9:H9"/>
    <mergeCell ref="A1:H1"/>
    <mergeCell ref="A3:H3"/>
    <mergeCell ref="A5:B5"/>
    <mergeCell ref="C5:D5"/>
    <mergeCell ref="E5:F5"/>
    <mergeCell ref="G5:H5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"/>
  <sheetViews>
    <sheetView showGridLines="0" tabSelected="1" topLeftCell="D67" workbookViewId="0">
      <selection activeCell="N67" sqref="N67"/>
    </sheetView>
  </sheetViews>
  <sheetFormatPr baseColWidth="10" defaultColWidth="8.83203125" defaultRowHeight="14"/>
  <cols>
    <col min="1" max="1" width="11" customWidth="1"/>
    <col min="2" max="2" width="10" customWidth="1"/>
    <col min="3" max="3" width="22" customWidth="1"/>
    <col min="4" max="4" width="13" customWidth="1"/>
    <col min="5" max="5" width="7" customWidth="1"/>
    <col min="6" max="6" width="13" customWidth="1"/>
    <col min="7" max="7" width="14" customWidth="1"/>
    <col min="8" max="8" width="20" customWidth="1"/>
    <col min="9" max="9" width="13" customWidth="1"/>
    <col min="10" max="10" width="14" customWidth="1"/>
    <col min="11" max="11" width="21" customWidth="1"/>
    <col min="12" max="12" width="12" customWidth="1"/>
    <col min="13" max="13" width="11" customWidth="1"/>
    <col min="14" max="14" width="12" customWidth="1"/>
    <col min="15" max="15" width="31" customWidth="1"/>
  </cols>
  <sheetData>
    <row r="1" spans="1:15" ht="36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1:15">
      <c r="A3" s="24" t="s">
        <v>18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ht="28" customHeight="1">
      <c r="A4" s="2" t="s">
        <v>19</v>
      </c>
      <c r="B4" s="2" t="s">
        <v>20</v>
      </c>
      <c r="C4" s="2" t="s">
        <v>3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</row>
    <row r="5" spans="1:15" ht="30" customHeight="1">
      <c r="A5" s="6" t="s">
        <v>33</v>
      </c>
      <c r="B5" s="2" t="s">
        <v>34</v>
      </c>
      <c r="C5" s="2" t="s">
        <v>35</v>
      </c>
      <c r="D5" s="2" t="s">
        <v>36</v>
      </c>
      <c r="E5" s="2">
        <v>1</v>
      </c>
      <c r="F5" s="2" t="s">
        <v>37</v>
      </c>
      <c r="G5" s="7" t="s">
        <v>38</v>
      </c>
      <c r="H5" s="4" t="s">
        <v>39</v>
      </c>
      <c r="I5" s="2" t="s">
        <v>40</v>
      </c>
      <c r="J5" s="7" t="s">
        <v>41</v>
      </c>
      <c r="K5" s="4" t="s">
        <v>42</v>
      </c>
      <c r="L5" s="2" t="s">
        <v>43</v>
      </c>
      <c r="M5" s="2" t="s">
        <v>44</v>
      </c>
      <c r="N5" s="3" t="s">
        <v>653</v>
      </c>
      <c r="O5" s="5" t="s">
        <v>45</v>
      </c>
    </row>
    <row r="6" spans="1:15" ht="30" customHeight="1">
      <c r="A6" s="6" t="s">
        <v>46</v>
      </c>
      <c r="B6" s="2" t="s">
        <v>34</v>
      </c>
      <c r="C6" s="2" t="s">
        <v>35</v>
      </c>
      <c r="D6" s="2" t="s">
        <v>36</v>
      </c>
      <c r="E6" s="2">
        <v>2</v>
      </c>
      <c r="F6" s="2" t="s">
        <v>47</v>
      </c>
      <c r="G6" s="7" t="s">
        <v>48</v>
      </c>
      <c r="H6" s="4" t="s">
        <v>49</v>
      </c>
      <c r="I6" s="2" t="s">
        <v>50</v>
      </c>
      <c r="J6" s="7" t="s">
        <v>51</v>
      </c>
      <c r="K6" s="4" t="s">
        <v>52</v>
      </c>
      <c r="L6" s="2" t="s">
        <v>43</v>
      </c>
      <c r="M6" s="2" t="s">
        <v>44</v>
      </c>
      <c r="N6" s="3" t="s">
        <v>653</v>
      </c>
      <c r="O6" s="5" t="s">
        <v>53</v>
      </c>
    </row>
    <row r="7" spans="1:15" ht="30" customHeight="1">
      <c r="A7" s="6" t="s">
        <v>54</v>
      </c>
      <c r="B7" s="2" t="s">
        <v>34</v>
      </c>
      <c r="C7" s="2" t="s">
        <v>35</v>
      </c>
      <c r="D7" s="2" t="s">
        <v>36</v>
      </c>
      <c r="E7" s="2">
        <v>3</v>
      </c>
      <c r="F7" s="2" t="s">
        <v>55</v>
      </c>
      <c r="G7" s="7" t="s">
        <v>56</v>
      </c>
      <c r="H7" s="4" t="s">
        <v>57</v>
      </c>
      <c r="I7" s="2" t="s">
        <v>58</v>
      </c>
      <c r="J7" s="7" t="s">
        <v>59</v>
      </c>
      <c r="K7" s="4" t="s">
        <v>60</v>
      </c>
      <c r="L7" s="2" t="s">
        <v>43</v>
      </c>
      <c r="M7" s="2" t="s">
        <v>44</v>
      </c>
      <c r="N7" s="3" t="s">
        <v>653</v>
      </c>
      <c r="O7" s="5" t="s">
        <v>61</v>
      </c>
    </row>
    <row r="8" spans="1:15" ht="30" customHeight="1">
      <c r="A8" s="6" t="s">
        <v>62</v>
      </c>
      <c r="B8" s="2" t="s">
        <v>34</v>
      </c>
      <c r="C8" s="2" t="s">
        <v>35</v>
      </c>
      <c r="D8" s="2" t="s">
        <v>36</v>
      </c>
      <c r="E8" s="2">
        <v>4</v>
      </c>
      <c r="F8" s="2" t="s">
        <v>63</v>
      </c>
      <c r="G8" s="7" t="s">
        <v>64</v>
      </c>
      <c r="H8" s="4" t="s">
        <v>65</v>
      </c>
      <c r="I8" s="2" t="s">
        <v>66</v>
      </c>
      <c r="J8" s="7" t="s">
        <v>67</v>
      </c>
      <c r="K8" s="4" t="s">
        <v>68</v>
      </c>
      <c r="L8" s="2" t="s">
        <v>43</v>
      </c>
      <c r="M8" s="2" t="s">
        <v>44</v>
      </c>
      <c r="N8" s="3" t="s">
        <v>653</v>
      </c>
      <c r="O8" s="5" t="s">
        <v>69</v>
      </c>
    </row>
    <row r="9" spans="1:15" ht="30" customHeight="1">
      <c r="A9" s="6" t="s">
        <v>70</v>
      </c>
      <c r="B9" s="2" t="s">
        <v>34</v>
      </c>
      <c r="C9" s="2" t="s">
        <v>35</v>
      </c>
      <c r="D9" s="2" t="s">
        <v>36</v>
      </c>
      <c r="E9" s="2">
        <v>5</v>
      </c>
      <c r="F9" s="2" t="s">
        <v>71</v>
      </c>
      <c r="G9" s="7" t="s">
        <v>72</v>
      </c>
      <c r="H9" s="4" t="s">
        <v>73</v>
      </c>
      <c r="I9" s="2" t="s">
        <v>74</v>
      </c>
      <c r="J9" s="7" t="s">
        <v>75</v>
      </c>
      <c r="K9" s="4" t="s">
        <v>76</v>
      </c>
      <c r="L9" s="2" t="s">
        <v>43</v>
      </c>
      <c r="M9" s="2" t="s">
        <v>44</v>
      </c>
      <c r="N9" s="3" t="s">
        <v>653</v>
      </c>
      <c r="O9" s="5" t="s">
        <v>77</v>
      </c>
    </row>
    <row r="10" spans="1:15" ht="30" customHeight="1">
      <c r="A10" s="6" t="s">
        <v>78</v>
      </c>
      <c r="B10" s="2" t="s">
        <v>34</v>
      </c>
      <c r="C10" s="2" t="s">
        <v>35</v>
      </c>
      <c r="D10" s="2" t="s">
        <v>36</v>
      </c>
      <c r="E10" s="2">
        <v>6</v>
      </c>
      <c r="F10" s="2" t="s">
        <v>79</v>
      </c>
      <c r="G10" s="7" t="s">
        <v>80</v>
      </c>
      <c r="H10" s="4" t="s">
        <v>81</v>
      </c>
      <c r="I10" s="2" t="s">
        <v>82</v>
      </c>
      <c r="J10" s="7" t="s">
        <v>83</v>
      </c>
      <c r="K10" s="4" t="s">
        <v>84</v>
      </c>
      <c r="L10" s="2" t="s">
        <v>43</v>
      </c>
      <c r="M10" s="2" t="s">
        <v>44</v>
      </c>
      <c r="N10" s="3" t="s">
        <v>653</v>
      </c>
      <c r="O10" s="5" t="s">
        <v>85</v>
      </c>
    </row>
    <row r="11" spans="1:15" ht="30" customHeight="1">
      <c r="A11" s="6" t="s">
        <v>86</v>
      </c>
      <c r="B11" s="2" t="s">
        <v>34</v>
      </c>
      <c r="C11" s="2" t="s">
        <v>35</v>
      </c>
      <c r="D11" s="2" t="s">
        <v>36</v>
      </c>
      <c r="E11" s="2">
        <v>7</v>
      </c>
      <c r="F11" s="2" t="s">
        <v>87</v>
      </c>
      <c r="G11" s="7" t="s">
        <v>88</v>
      </c>
      <c r="H11" s="4" t="s">
        <v>89</v>
      </c>
      <c r="I11" s="2" t="s">
        <v>90</v>
      </c>
      <c r="J11" s="7" t="s">
        <v>91</v>
      </c>
      <c r="K11" s="4" t="s">
        <v>92</v>
      </c>
      <c r="L11" s="2" t="s">
        <v>43</v>
      </c>
      <c r="M11" s="2" t="s">
        <v>93</v>
      </c>
      <c r="N11" s="3" t="s">
        <v>653</v>
      </c>
      <c r="O11" s="5" t="s">
        <v>94</v>
      </c>
    </row>
    <row r="12" spans="1:15" ht="30" customHeight="1">
      <c r="A12" s="6" t="s">
        <v>95</v>
      </c>
      <c r="B12" s="2" t="s">
        <v>34</v>
      </c>
      <c r="C12" s="2" t="s">
        <v>35</v>
      </c>
      <c r="D12" s="2" t="s">
        <v>36</v>
      </c>
      <c r="E12" s="2">
        <v>8</v>
      </c>
      <c r="F12" s="2" t="s">
        <v>96</v>
      </c>
      <c r="G12" s="7" t="s">
        <v>97</v>
      </c>
      <c r="H12" s="4" t="s">
        <v>98</v>
      </c>
      <c r="I12" s="2" t="s">
        <v>99</v>
      </c>
      <c r="J12" s="7" t="s">
        <v>100</v>
      </c>
      <c r="K12" s="4" t="s">
        <v>101</v>
      </c>
      <c r="L12" s="2" t="s">
        <v>102</v>
      </c>
      <c r="M12" s="2" t="s">
        <v>93</v>
      </c>
      <c r="N12" s="3" t="s">
        <v>653</v>
      </c>
      <c r="O12" s="5" t="s">
        <v>103</v>
      </c>
    </row>
    <row r="13" spans="1:15" ht="30" customHeight="1">
      <c r="A13" s="6" t="s">
        <v>104</v>
      </c>
      <c r="B13" s="2" t="s">
        <v>34</v>
      </c>
      <c r="C13" s="2" t="s">
        <v>35</v>
      </c>
      <c r="D13" s="2" t="s">
        <v>36</v>
      </c>
      <c r="E13" s="2">
        <v>9</v>
      </c>
      <c r="F13" s="2" t="s">
        <v>105</v>
      </c>
      <c r="G13" s="7" t="s">
        <v>106</v>
      </c>
      <c r="H13" s="4" t="s">
        <v>107</v>
      </c>
      <c r="I13" s="2" t="s">
        <v>108</v>
      </c>
      <c r="J13" s="7" t="s">
        <v>109</v>
      </c>
      <c r="K13" s="4" t="s">
        <v>110</v>
      </c>
      <c r="L13" s="2" t="s">
        <v>102</v>
      </c>
      <c r="M13" s="2" t="s">
        <v>93</v>
      </c>
      <c r="N13" s="3" t="s">
        <v>653</v>
      </c>
      <c r="O13" s="5" t="s">
        <v>111</v>
      </c>
    </row>
    <row r="14" spans="1:15" ht="30" customHeight="1">
      <c r="A14" s="6" t="s">
        <v>112</v>
      </c>
      <c r="B14" s="2" t="s">
        <v>34</v>
      </c>
      <c r="C14" s="2" t="s">
        <v>35</v>
      </c>
      <c r="D14" s="2" t="s">
        <v>36</v>
      </c>
      <c r="E14" s="2">
        <v>10</v>
      </c>
      <c r="F14" s="2" t="s">
        <v>113</v>
      </c>
      <c r="G14" s="7" t="s">
        <v>114</v>
      </c>
      <c r="H14" s="4" t="s">
        <v>115</v>
      </c>
      <c r="I14" s="2" t="s">
        <v>116</v>
      </c>
      <c r="J14" s="7" t="s">
        <v>117</v>
      </c>
      <c r="K14" s="4" t="s">
        <v>118</v>
      </c>
      <c r="L14" s="2" t="s">
        <v>119</v>
      </c>
      <c r="M14" s="2" t="s">
        <v>93</v>
      </c>
      <c r="N14" s="3" t="s">
        <v>653</v>
      </c>
      <c r="O14" s="5" t="s">
        <v>120</v>
      </c>
    </row>
    <row r="15" spans="1:15" ht="30" customHeight="1">
      <c r="A15" s="6" t="s">
        <v>121</v>
      </c>
      <c r="B15" s="2" t="s">
        <v>122</v>
      </c>
      <c r="C15" s="2" t="s">
        <v>123</v>
      </c>
      <c r="D15" s="2" t="s">
        <v>124</v>
      </c>
      <c r="E15" s="2">
        <v>1</v>
      </c>
      <c r="F15" s="2" t="s">
        <v>125</v>
      </c>
      <c r="G15" s="7" t="s">
        <v>126</v>
      </c>
      <c r="H15" s="4" t="s">
        <v>127</v>
      </c>
      <c r="I15" s="2" t="s">
        <v>128</v>
      </c>
      <c r="J15" s="7" t="s">
        <v>129</v>
      </c>
      <c r="K15" s="4" t="s">
        <v>130</v>
      </c>
      <c r="L15" s="2" t="s">
        <v>131</v>
      </c>
      <c r="M15" s="2" t="s">
        <v>44</v>
      </c>
      <c r="N15" s="3" t="s">
        <v>653</v>
      </c>
      <c r="O15" s="5" t="s">
        <v>132</v>
      </c>
    </row>
    <row r="16" spans="1:15" ht="30" customHeight="1">
      <c r="A16" s="6" t="s">
        <v>133</v>
      </c>
      <c r="B16" s="2" t="s">
        <v>122</v>
      </c>
      <c r="C16" s="2" t="s">
        <v>123</v>
      </c>
      <c r="D16" s="2" t="s">
        <v>124</v>
      </c>
      <c r="E16" s="2">
        <v>2</v>
      </c>
      <c r="F16" s="2" t="s">
        <v>134</v>
      </c>
      <c r="G16" s="7" t="s">
        <v>135</v>
      </c>
      <c r="H16" s="4" t="s">
        <v>136</v>
      </c>
      <c r="I16" s="2" t="s">
        <v>137</v>
      </c>
      <c r="J16" s="7" t="s">
        <v>138</v>
      </c>
      <c r="K16" s="4" t="s">
        <v>139</v>
      </c>
      <c r="L16" s="2" t="s">
        <v>131</v>
      </c>
      <c r="M16" s="2" t="s">
        <v>44</v>
      </c>
      <c r="N16" s="3" t="s">
        <v>653</v>
      </c>
      <c r="O16" s="5" t="s">
        <v>77</v>
      </c>
    </row>
    <row r="17" spans="1:15" ht="30" customHeight="1">
      <c r="A17" s="6" t="s">
        <v>140</v>
      </c>
      <c r="B17" s="2" t="s">
        <v>122</v>
      </c>
      <c r="C17" s="2" t="s">
        <v>123</v>
      </c>
      <c r="D17" s="2" t="s">
        <v>124</v>
      </c>
      <c r="E17" s="2">
        <v>3</v>
      </c>
      <c r="F17" s="2" t="s">
        <v>141</v>
      </c>
      <c r="G17" s="7" t="s">
        <v>142</v>
      </c>
      <c r="H17" s="4" t="s">
        <v>143</v>
      </c>
      <c r="I17" s="2" t="s">
        <v>144</v>
      </c>
      <c r="J17" s="7" t="s">
        <v>145</v>
      </c>
      <c r="K17" s="4" t="s">
        <v>146</v>
      </c>
      <c r="L17" s="2" t="s">
        <v>131</v>
      </c>
      <c r="M17" s="2" t="s">
        <v>44</v>
      </c>
      <c r="N17" s="3" t="s">
        <v>653</v>
      </c>
      <c r="O17" s="5" t="s">
        <v>147</v>
      </c>
    </row>
    <row r="18" spans="1:15" ht="30" customHeight="1">
      <c r="A18" s="6" t="s">
        <v>148</v>
      </c>
      <c r="B18" s="2" t="s">
        <v>122</v>
      </c>
      <c r="C18" s="2" t="s">
        <v>123</v>
      </c>
      <c r="D18" s="2" t="s">
        <v>124</v>
      </c>
      <c r="E18" s="2">
        <v>4</v>
      </c>
      <c r="F18" s="2" t="s">
        <v>149</v>
      </c>
      <c r="G18" s="7" t="s">
        <v>150</v>
      </c>
      <c r="H18" s="4" t="s">
        <v>151</v>
      </c>
      <c r="I18" s="2" t="s">
        <v>152</v>
      </c>
      <c r="J18" s="7" t="s">
        <v>153</v>
      </c>
      <c r="K18" s="4" t="s">
        <v>154</v>
      </c>
      <c r="L18" s="2" t="s">
        <v>131</v>
      </c>
      <c r="M18" s="2" t="s">
        <v>44</v>
      </c>
      <c r="N18" s="3" t="s">
        <v>653</v>
      </c>
      <c r="O18" s="5" t="s">
        <v>155</v>
      </c>
    </row>
    <row r="19" spans="1:15" ht="30" customHeight="1">
      <c r="A19" s="6" t="s">
        <v>156</v>
      </c>
      <c r="B19" s="2" t="s">
        <v>122</v>
      </c>
      <c r="C19" s="2" t="s">
        <v>123</v>
      </c>
      <c r="D19" s="2" t="s">
        <v>124</v>
      </c>
      <c r="E19" s="2">
        <v>5</v>
      </c>
      <c r="F19" s="2" t="s">
        <v>157</v>
      </c>
      <c r="G19" s="7" t="s">
        <v>158</v>
      </c>
      <c r="H19" s="4" t="s">
        <v>159</v>
      </c>
      <c r="I19" s="2" t="s">
        <v>160</v>
      </c>
      <c r="J19" s="7" t="s">
        <v>161</v>
      </c>
      <c r="K19" s="4" t="s">
        <v>162</v>
      </c>
      <c r="L19" s="2" t="s">
        <v>131</v>
      </c>
      <c r="M19" s="2" t="s">
        <v>44</v>
      </c>
      <c r="N19" s="3" t="s">
        <v>653</v>
      </c>
      <c r="O19" s="5" t="s">
        <v>77</v>
      </c>
    </row>
    <row r="20" spans="1:15" ht="30" customHeight="1">
      <c r="A20" s="6" t="s">
        <v>163</v>
      </c>
      <c r="B20" s="2" t="s">
        <v>122</v>
      </c>
      <c r="C20" s="2" t="s">
        <v>123</v>
      </c>
      <c r="D20" s="2" t="s">
        <v>124</v>
      </c>
      <c r="E20" s="2">
        <v>6</v>
      </c>
      <c r="F20" s="2" t="s">
        <v>164</v>
      </c>
      <c r="G20" s="7" t="s">
        <v>165</v>
      </c>
      <c r="H20" s="4" t="s">
        <v>166</v>
      </c>
      <c r="I20" s="2" t="s">
        <v>167</v>
      </c>
      <c r="J20" s="7" t="s">
        <v>168</v>
      </c>
      <c r="K20" s="4" t="s">
        <v>169</v>
      </c>
      <c r="L20" s="2" t="s">
        <v>131</v>
      </c>
      <c r="M20" s="2" t="s">
        <v>44</v>
      </c>
      <c r="N20" s="3" t="s">
        <v>653</v>
      </c>
      <c r="O20" s="5" t="s">
        <v>170</v>
      </c>
    </row>
    <row r="21" spans="1:15" ht="30" customHeight="1">
      <c r="A21" s="6" t="s">
        <v>171</v>
      </c>
      <c r="B21" s="2" t="s">
        <v>122</v>
      </c>
      <c r="C21" s="2" t="s">
        <v>123</v>
      </c>
      <c r="D21" s="2" t="s">
        <v>124</v>
      </c>
      <c r="E21" s="2">
        <v>7</v>
      </c>
      <c r="F21" s="2" t="s">
        <v>172</v>
      </c>
      <c r="G21" s="7" t="s">
        <v>173</v>
      </c>
      <c r="H21" s="4" t="s">
        <v>174</v>
      </c>
      <c r="I21" s="2" t="s">
        <v>175</v>
      </c>
      <c r="J21" s="7" t="s">
        <v>176</v>
      </c>
      <c r="K21" s="4" t="s">
        <v>177</v>
      </c>
      <c r="L21" s="2" t="s">
        <v>131</v>
      </c>
      <c r="M21" s="2" t="s">
        <v>44</v>
      </c>
      <c r="N21" s="3" t="s">
        <v>653</v>
      </c>
      <c r="O21" s="5" t="s">
        <v>178</v>
      </c>
    </row>
    <row r="22" spans="1:15" ht="30" customHeight="1">
      <c r="A22" s="6" t="s">
        <v>179</v>
      </c>
      <c r="B22" s="2" t="s">
        <v>122</v>
      </c>
      <c r="C22" s="2" t="s">
        <v>123</v>
      </c>
      <c r="D22" s="2" t="s">
        <v>124</v>
      </c>
      <c r="E22" s="2">
        <v>8</v>
      </c>
      <c r="F22" s="2" t="s">
        <v>180</v>
      </c>
      <c r="G22" s="7" t="s">
        <v>181</v>
      </c>
      <c r="H22" s="4" t="s">
        <v>182</v>
      </c>
      <c r="I22" s="2" t="s">
        <v>183</v>
      </c>
      <c r="J22" s="7" t="s">
        <v>184</v>
      </c>
      <c r="K22" s="4" t="s">
        <v>185</v>
      </c>
      <c r="L22" s="2" t="s">
        <v>131</v>
      </c>
      <c r="M22" s="2" t="s">
        <v>93</v>
      </c>
      <c r="N22" s="3" t="s">
        <v>653</v>
      </c>
      <c r="O22" s="5" t="s">
        <v>186</v>
      </c>
    </row>
    <row r="23" spans="1:15" ht="30" customHeight="1">
      <c r="A23" s="6" t="s">
        <v>187</v>
      </c>
      <c r="B23" s="2" t="s">
        <v>122</v>
      </c>
      <c r="C23" s="2" t="s">
        <v>123</v>
      </c>
      <c r="D23" s="2" t="s">
        <v>124</v>
      </c>
      <c r="E23" s="2">
        <v>9</v>
      </c>
      <c r="F23" s="2" t="s">
        <v>188</v>
      </c>
      <c r="G23" s="7" t="s">
        <v>189</v>
      </c>
      <c r="H23" s="4" t="s">
        <v>190</v>
      </c>
      <c r="I23" s="2" t="s">
        <v>191</v>
      </c>
      <c r="J23" s="7" t="s">
        <v>192</v>
      </c>
      <c r="K23" s="4" t="s">
        <v>193</v>
      </c>
      <c r="L23" s="2" t="s">
        <v>131</v>
      </c>
      <c r="M23" s="2" t="s">
        <v>93</v>
      </c>
      <c r="N23" s="3" t="s">
        <v>653</v>
      </c>
      <c r="O23" s="5" t="s">
        <v>194</v>
      </c>
    </row>
    <row r="24" spans="1:15" ht="30" customHeight="1">
      <c r="A24" s="6" t="s">
        <v>195</v>
      </c>
      <c r="B24" s="2" t="s">
        <v>122</v>
      </c>
      <c r="C24" s="2" t="s">
        <v>123</v>
      </c>
      <c r="D24" s="2" t="s">
        <v>124</v>
      </c>
      <c r="E24" s="2">
        <v>10</v>
      </c>
      <c r="F24" s="2" t="s">
        <v>196</v>
      </c>
      <c r="G24" s="7" t="s">
        <v>197</v>
      </c>
      <c r="H24" s="4" t="s">
        <v>198</v>
      </c>
      <c r="I24" s="2" t="s">
        <v>199</v>
      </c>
      <c r="J24" s="7" t="s">
        <v>200</v>
      </c>
      <c r="K24" s="4" t="s">
        <v>201</v>
      </c>
      <c r="L24" s="2" t="s">
        <v>131</v>
      </c>
      <c r="M24" s="2" t="s">
        <v>93</v>
      </c>
      <c r="N24" s="3" t="s">
        <v>653</v>
      </c>
      <c r="O24" s="5" t="s">
        <v>202</v>
      </c>
    </row>
    <row r="25" spans="1:15" ht="30" customHeight="1">
      <c r="A25" s="6" t="s">
        <v>203</v>
      </c>
      <c r="B25" s="2" t="s">
        <v>204</v>
      </c>
      <c r="C25" s="2" t="s">
        <v>205</v>
      </c>
      <c r="D25" s="2" t="s">
        <v>206</v>
      </c>
      <c r="E25" s="2">
        <v>1</v>
      </c>
      <c r="F25" s="2" t="s">
        <v>207</v>
      </c>
      <c r="G25" s="7" t="s">
        <v>208</v>
      </c>
      <c r="H25" s="4" t="s">
        <v>209</v>
      </c>
      <c r="I25" s="2" t="s">
        <v>210</v>
      </c>
      <c r="J25" s="7" t="s">
        <v>211</v>
      </c>
      <c r="K25" s="4" t="s">
        <v>212</v>
      </c>
      <c r="L25" s="2" t="s">
        <v>131</v>
      </c>
      <c r="M25" s="2" t="s">
        <v>44</v>
      </c>
      <c r="N25" s="3" t="s">
        <v>653</v>
      </c>
      <c r="O25" s="5" t="s">
        <v>132</v>
      </c>
    </row>
    <row r="26" spans="1:15" ht="30" customHeight="1">
      <c r="A26" s="6" t="s">
        <v>213</v>
      </c>
      <c r="B26" s="2" t="s">
        <v>204</v>
      </c>
      <c r="C26" s="2" t="s">
        <v>205</v>
      </c>
      <c r="D26" s="2" t="s">
        <v>206</v>
      </c>
      <c r="E26" s="2">
        <v>2</v>
      </c>
      <c r="F26" s="2" t="s">
        <v>214</v>
      </c>
      <c r="G26" s="7" t="s">
        <v>215</v>
      </c>
      <c r="H26" s="4" t="s">
        <v>216</v>
      </c>
      <c r="I26" s="2" t="s">
        <v>217</v>
      </c>
      <c r="J26" s="7" t="s">
        <v>218</v>
      </c>
      <c r="K26" s="4" t="s">
        <v>219</v>
      </c>
      <c r="L26" s="2" t="s">
        <v>131</v>
      </c>
      <c r="M26" s="2" t="s">
        <v>44</v>
      </c>
      <c r="N26" s="3" t="s">
        <v>653</v>
      </c>
      <c r="O26" s="5" t="s">
        <v>220</v>
      </c>
    </row>
    <row r="27" spans="1:15" ht="30" customHeight="1">
      <c r="A27" s="6" t="s">
        <v>221</v>
      </c>
      <c r="B27" s="2" t="s">
        <v>204</v>
      </c>
      <c r="C27" s="2" t="s">
        <v>205</v>
      </c>
      <c r="D27" s="2" t="s">
        <v>206</v>
      </c>
      <c r="E27" s="2">
        <v>3</v>
      </c>
      <c r="F27" s="2" t="s">
        <v>222</v>
      </c>
      <c r="G27" s="7" t="s">
        <v>223</v>
      </c>
      <c r="H27" s="4" t="s">
        <v>224</v>
      </c>
      <c r="I27" s="2" t="s">
        <v>225</v>
      </c>
      <c r="J27" s="7" t="s">
        <v>226</v>
      </c>
      <c r="K27" s="4" t="s">
        <v>227</v>
      </c>
      <c r="L27" s="2" t="s">
        <v>131</v>
      </c>
      <c r="M27" s="2" t="s">
        <v>44</v>
      </c>
      <c r="N27" s="3" t="s">
        <v>653</v>
      </c>
      <c r="O27" s="5" t="s">
        <v>77</v>
      </c>
    </row>
    <row r="28" spans="1:15" ht="30" customHeight="1">
      <c r="A28" s="6" t="s">
        <v>228</v>
      </c>
      <c r="B28" s="2" t="s">
        <v>204</v>
      </c>
      <c r="C28" s="2" t="s">
        <v>205</v>
      </c>
      <c r="D28" s="2" t="s">
        <v>206</v>
      </c>
      <c r="E28" s="2">
        <v>4</v>
      </c>
      <c r="F28" s="2" t="s">
        <v>229</v>
      </c>
      <c r="G28" s="7" t="s">
        <v>230</v>
      </c>
      <c r="H28" s="4" t="s">
        <v>231</v>
      </c>
      <c r="I28" s="2" t="s">
        <v>232</v>
      </c>
      <c r="J28" s="7" t="s">
        <v>233</v>
      </c>
      <c r="K28" s="4" t="s">
        <v>234</v>
      </c>
      <c r="L28" s="2" t="s">
        <v>131</v>
      </c>
      <c r="M28" s="2" t="s">
        <v>44</v>
      </c>
      <c r="N28" s="3" t="s">
        <v>653</v>
      </c>
      <c r="O28" s="5" t="s">
        <v>235</v>
      </c>
    </row>
    <row r="29" spans="1:15" ht="30" customHeight="1">
      <c r="A29" s="6" t="s">
        <v>236</v>
      </c>
      <c r="B29" s="2" t="s">
        <v>204</v>
      </c>
      <c r="C29" s="2" t="s">
        <v>205</v>
      </c>
      <c r="D29" s="2" t="s">
        <v>206</v>
      </c>
      <c r="E29" s="2">
        <v>5</v>
      </c>
      <c r="F29" s="2" t="s">
        <v>237</v>
      </c>
      <c r="G29" s="7" t="s">
        <v>238</v>
      </c>
      <c r="H29" s="4" t="s">
        <v>239</v>
      </c>
      <c r="I29" s="2" t="s">
        <v>240</v>
      </c>
      <c r="J29" s="7" t="s">
        <v>241</v>
      </c>
      <c r="K29" s="4" t="s">
        <v>242</v>
      </c>
      <c r="L29" s="2" t="s">
        <v>131</v>
      </c>
      <c r="M29" s="2" t="s">
        <v>44</v>
      </c>
      <c r="N29" s="3" t="s">
        <v>653</v>
      </c>
      <c r="O29" s="5" t="s">
        <v>170</v>
      </c>
    </row>
    <row r="30" spans="1:15" ht="30" customHeight="1">
      <c r="A30" s="6" t="s">
        <v>243</v>
      </c>
      <c r="B30" s="2" t="s">
        <v>204</v>
      </c>
      <c r="C30" s="2" t="s">
        <v>205</v>
      </c>
      <c r="D30" s="2" t="s">
        <v>206</v>
      </c>
      <c r="E30" s="2">
        <v>6</v>
      </c>
      <c r="F30" s="2" t="s">
        <v>244</v>
      </c>
      <c r="G30" s="7" t="s">
        <v>245</v>
      </c>
      <c r="H30" s="4" t="s">
        <v>246</v>
      </c>
      <c r="I30" s="2" t="s">
        <v>247</v>
      </c>
      <c r="J30" s="7" t="s">
        <v>248</v>
      </c>
      <c r="K30" s="4" t="s">
        <v>249</v>
      </c>
      <c r="L30" s="2" t="s">
        <v>131</v>
      </c>
      <c r="M30" s="2" t="s">
        <v>44</v>
      </c>
      <c r="N30" s="3" t="s">
        <v>653</v>
      </c>
      <c r="O30" s="5" t="s">
        <v>250</v>
      </c>
    </row>
    <row r="31" spans="1:15" ht="30" customHeight="1">
      <c r="A31" s="6" t="s">
        <v>251</v>
      </c>
      <c r="B31" s="2" t="s">
        <v>204</v>
      </c>
      <c r="C31" s="2" t="s">
        <v>205</v>
      </c>
      <c r="D31" s="2" t="s">
        <v>206</v>
      </c>
      <c r="E31" s="2">
        <v>7</v>
      </c>
      <c r="F31" s="2" t="s">
        <v>252</v>
      </c>
      <c r="G31" s="7" t="s">
        <v>253</v>
      </c>
      <c r="H31" s="4" t="s">
        <v>254</v>
      </c>
      <c r="I31" s="2" t="s">
        <v>255</v>
      </c>
      <c r="J31" s="7" t="s">
        <v>256</v>
      </c>
      <c r="K31" s="4" t="s">
        <v>257</v>
      </c>
      <c r="L31" s="2" t="s">
        <v>131</v>
      </c>
      <c r="M31" s="2" t="s">
        <v>44</v>
      </c>
      <c r="N31" s="3" t="s">
        <v>653</v>
      </c>
      <c r="O31" s="5" t="s">
        <v>258</v>
      </c>
    </row>
    <row r="32" spans="1:15" ht="30" customHeight="1">
      <c r="A32" s="6" t="s">
        <v>259</v>
      </c>
      <c r="B32" s="2" t="s">
        <v>204</v>
      </c>
      <c r="C32" s="2" t="s">
        <v>205</v>
      </c>
      <c r="D32" s="2" t="s">
        <v>206</v>
      </c>
      <c r="E32" s="2">
        <v>8</v>
      </c>
      <c r="F32" s="2" t="s">
        <v>260</v>
      </c>
      <c r="G32" s="7" t="s">
        <v>261</v>
      </c>
      <c r="H32" s="4" t="s">
        <v>262</v>
      </c>
      <c r="I32" s="2" t="s">
        <v>263</v>
      </c>
      <c r="J32" s="7" t="s">
        <v>264</v>
      </c>
      <c r="K32" s="4" t="s">
        <v>265</v>
      </c>
      <c r="L32" s="2" t="s">
        <v>131</v>
      </c>
      <c r="M32" s="2" t="s">
        <v>44</v>
      </c>
      <c r="N32" s="3" t="s">
        <v>653</v>
      </c>
      <c r="O32" s="5" t="s">
        <v>266</v>
      </c>
    </row>
    <row r="33" spans="1:15" ht="30" customHeight="1">
      <c r="A33" s="6" t="s">
        <v>267</v>
      </c>
      <c r="B33" s="2" t="s">
        <v>204</v>
      </c>
      <c r="C33" s="2" t="s">
        <v>205</v>
      </c>
      <c r="D33" s="2" t="s">
        <v>206</v>
      </c>
      <c r="E33" s="2">
        <v>9</v>
      </c>
      <c r="F33" s="2" t="s">
        <v>268</v>
      </c>
      <c r="G33" s="7" t="s">
        <v>269</v>
      </c>
      <c r="H33" s="4" t="s">
        <v>270</v>
      </c>
      <c r="I33" s="2" t="s">
        <v>271</v>
      </c>
      <c r="J33" s="7" t="s">
        <v>272</v>
      </c>
      <c r="K33" s="4" t="s">
        <v>273</v>
      </c>
      <c r="L33" s="2" t="s">
        <v>131</v>
      </c>
      <c r="M33" s="2" t="s">
        <v>93</v>
      </c>
      <c r="N33" s="3" t="s">
        <v>653</v>
      </c>
      <c r="O33" s="5" t="s">
        <v>274</v>
      </c>
    </row>
    <row r="34" spans="1:15" ht="30" customHeight="1">
      <c r="A34" s="6" t="s">
        <v>275</v>
      </c>
      <c r="B34" s="2" t="s">
        <v>204</v>
      </c>
      <c r="C34" s="2" t="s">
        <v>205</v>
      </c>
      <c r="D34" s="2" t="s">
        <v>206</v>
      </c>
      <c r="E34" s="2">
        <v>10</v>
      </c>
      <c r="F34" s="2" t="s">
        <v>276</v>
      </c>
      <c r="G34" s="7" t="s">
        <v>277</v>
      </c>
      <c r="H34" s="4" t="s">
        <v>278</v>
      </c>
      <c r="I34" s="2" t="s">
        <v>279</v>
      </c>
      <c r="J34" s="7" t="s">
        <v>280</v>
      </c>
      <c r="K34" s="4" t="s">
        <v>281</v>
      </c>
      <c r="L34" s="2" t="s">
        <v>282</v>
      </c>
      <c r="M34" s="2" t="s">
        <v>93</v>
      </c>
      <c r="N34" s="3" t="s">
        <v>653</v>
      </c>
      <c r="O34" s="5" t="s">
        <v>283</v>
      </c>
    </row>
    <row r="35" spans="1:15" ht="30" customHeight="1">
      <c r="A35" s="6" t="s">
        <v>284</v>
      </c>
      <c r="B35" s="2" t="s">
        <v>285</v>
      </c>
      <c r="C35" s="2" t="s">
        <v>286</v>
      </c>
      <c r="D35" s="2" t="s">
        <v>287</v>
      </c>
      <c r="E35" s="2">
        <v>1</v>
      </c>
      <c r="F35" s="2" t="s">
        <v>288</v>
      </c>
      <c r="G35" s="7" t="s">
        <v>289</v>
      </c>
      <c r="H35" s="4" t="s">
        <v>290</v>
      </c>
      <c r="I35" s="2" t="s">
        <v>291</v>
      </c>
      <c r="J35" s="7" t="s">
        <v>292</v>
      </c>
      <c r="K35" s="4" t="s">
        <v>293</v>
      </c>
      <c r="L35" s="2" t="s">
        <v>131</v>
      </c>
      <c r="M35" s="2" t="s">
        <v>44</v>
      </c>
      <c r="N35" s="3" t="s">
        <v>653</v>
      </c>
      <c r="O35" s="5" t="s">
        <v>132</v>
      </c>
    </row>
    <row r="36" spans="1:15" ht="30" customHeight="1">
      <c r="A36" s="6" t="s">
        <v>294</v>
      </c>
      <c r="B36" s="2" t="s">
        <v>285</v>
      </c>
      <c r="C36" s="2" t="s">
        <v>286</v>
      </c>
      <c r="D36" s="2" t="s">
        <v>287</v>
      </c>
      <c r="E36" s="2">
        <v>2</v>
      </c>
      <c r="F36" s="2" t="s">
        <v>237</v>
      </c>
      <c r="G36" s="7" t="s">
        <v>238</v>
      </c>
      <c r="H36" s="4" t="s">
        <v>239</v>
      </c>
      <c r="I36" s="2" t="s">
        <v>295</v>
      </c>
      <c r="J36" s="7" t="s">
        <v>296</v>
      </c>
      <c r="K36" s="4" t="s">
        <v>297</v>
      </c>
      <c r="L36" s="2" t="s">
        <v>131</v>
      </c>
      <c r="M36" s="2" t="s">
        <v>44</v>
      </c>
      <c r="N36" s="3" t="s">
        <v>653</v>
      </c>
      <c r="O36" s="5" t="s">
        <v>77</v>
      </c>
    </row>
    <row r="37" spans="1:15" ht="30" customHeight="1">
      <c r="A37" s="6" t="s">
        <v>298</v>
      </c>
      <c r="B37" s="2" t="s">
        <v>285</v>
      </c>
      <c r="C37" s="2" t="s">
        <v>286</v>
      </c>
      <c r="D37" s="2" t="s">
        <v>287</v>
      </c>
      <c r="E37" s="2">
        <v>3</v>
      </c>
      <c r="F37" s="2" t="s">
        <v>299</v>
      </c>
      <c r="G37" s="7" t="s">
        <v>300</v>
      </c>
      <c r="H37" s="4" t="s">
        <v>301</v>
      </c>
      <c r="I37" s="2" t="s">
        <v>302</v>
      </c>
      <c r="J37" s="7" t="s">
        <v>303</v>
      </c>
      <c r="K37" s="4" t="s">
        <v>304</v>
      </c>
      <c r="L37" s="2" t="s">
        <v>131</v>
      </c>
      <c r="M37" s="2" t="s">
        <v>44</v>
      </c>
      <c r="N37" s="3" t="s">
        <v>653</v>
      </c>
      <c r="O37" s="5" t="s">
        <v>305</v>
      </c>
    </row>
    <row r="38" spans="1:15" ht="30" customHeight="1">
      <c r="A38" s="6" t="s">
        <v>306</v>
      </c>
      <c r="B38" s="2" t="s">
        <v>285</v>
      </c>
      <c r="C38" s="2" t="s">
        <v>286</v>
      </c>
      <c r="D38" s="2" t="s">
        <v>287</v>
      </c>
      <c r="E38" s="2">
        <v>4</v>
      </c>
      <c r="F38" s="2" t="s">
        <v>207</v>
      </c>
      <c r="G38" s="7" t="s">
        <v>208</v>
      </c>
      <c r="H38" s="4" t="s">
        <v>209</v>
      </c>
      <c r="I38" s="2" t="s">
        <v>307</v>
      </c>
      <c r="J38" s="7" t="s">
        <v>308</v>
      </c>
      <c r="K38" s="4" t="s">
        <v>309</v>
      </c>
      <c r="L38" s="2" t="s">
        <v>131</v>
      </c>
      <c r="M38" s="2" t="s">
        <v>44</v>
      </c>
      <c r="N38" s="3" t="s">
        <v>653</v>
      </c>
      <c r="O38" s="5" t="s">
        <v>170</v>
      </c>
    </row>
    <row r="39" spans="1:15" ht="30" customHeight="1">
      <c r="A39" s="6" t="s">
        <v>310</v>
      </c>
      <c r="B39" s="2" t="s">
        <v>285</v>
      </c>
      <c r="C39" s="2" t="s">
        <v>286</v>
      </c>
      <c r="D39" s="2" t="s">
        <v>287</v>
      </c>
      <c r="E39" s="2">
        <v>5</v>
      </c>
      <c r="F39" s="2" t="s">
        <v>311</v>
      </c>
      <c r="G39" s="7" t="s">
        <v>312</v>
      </c>
      <c r="H39" s="4" t="s">
        <v>313</v>
      </c>
      <c r="I39" s="2" t="s">
        <v>314</v>
      </c>
      <c r="J39" s="7" t="s">
        <v>315</v>
      </c>
      <c r="K39" s="4" t="s">
        <v>316</v>
      </c>
      <c r="L39" s="2" t="s">
        <v>131</v>
      </c>
      <c r="M39" s="2" t="s">
        <v>44</v>
      </c>
      <c r="N39" s="3" t="s">
        <v>653</v>
      </c>
      <c r="O39" s="5" t="s">
        <v>178</v>
      </c>
    </row>
    <row r="40" spans="1:15" ht="30" customHeight="1">
      <c r="A40" s="6" t="s">
        <v>317</v>
      </c>
      <c r="B40" s="2" t="s">
        <v>285</v>
      </c>
      <c r="C40" s="2" t="s">
        <v>286</v>
      </c>
      <c r="D40" s="2" t="s">
        <v>287</v>
      </c>
      <c r="E40" s="2">
        <v>6</v>
      </c>
      <c r="F40" s="2" t="s">
        <v>318</v>
      </c>
      <c r="G40" s="7" t="s">
        <v>319</v>
      </c>
      <c r="H40" s="4" t="s">
        <v>320</v>
      </c>
      <c r="I40" s="2" t="s">
        <v>321</v>
      </c>
      <c r="J40" s="7" t="s">
        <v>322</v>
      </c>
      <c r="K40" s="4" t="s">
        <v>323</v>
      </c>
      <c r="L40" s="2" t="s">
        <v>131</v>
      </c>
      <c r="M40" s="2" t="s">
        <v>44</v>
      </c>
      <c r="N40" s="3" t="s">
        <v>653</v>
      </c>
      <c r="O40" s="5" t="s">
        <v>77</v>
      </c>
    </row>
    <row r="41" spans="1:15" ht="30" customHeight="1">
      <c r="A41" s="6" t="s">
        <v>324</v>
      </c>
      <c r="B41" s="2" t="s">
        <v>285</v>
      </c>
      <c r="C41" s="2" t="s">
        <v>286</v>
      </c>
      <c r="D41" s="2" t="s">
        <v>287</v>
      </c>
      <c r="E41" s="2">
        <v>7</v>
      </c>
      <c r="F41" s="2" t="s">
        <v>325</v>
      </c>
      <c r="G41" s="7" t="s">
        <v>326</v>
      </c>
      <c r="H41" s="4" t="s">
        <v>327</v>
      </c>
      <c r="I41" s="2" t="s">
        <v>328</v>
      </c>
      <c r="J41" s="7" t="s">
        <v>329</v>
      </c>
      <c r="K41" s="4" t="s">
        <v>330</v>
      </c>
      <c r="L41" s="2" t="s">
        <v>131</v>
      </c>
      <c r="M41" s="2" t="s">
        <v>93</v>
      </c>
      <c r="N41" s="3" t="s">
        <v>653</v>
      </c>
      <c r="O41" s="5" t="s">
        <v>202</v>
      </c>
    </row>
    <row r="42" spans="1:15" ht="30" customHeight="1">
      <c r="A42" s="6" t="s">
        <v>331</v>
      </c>
      <c r="B42" s="2" t="s">
        <v>285</v>
      </c>
      <c r="C42" s="2" t="s">
        <v>286</v>
      </c>
      <c r="D42" s="2" t="s">
        <v>287</v>
      </c>
      <c r="E42" s="2">
        <v>8</v>
      </c>
      <c r="F42" s="2" t="s">
        <v>332</v>
      </c>
      <c r="G42" s="7" t="s">
        <v>333</v>
      </c>
      <c r="H42" s="4" t="s">
        <v>334</v>
      </c>
      <c r="I42" s="2" t="s">
        <v>335</v>
      </c>
      <c r="J42" s="7" t="s">
        <v>336</v>
      </c>
      <c r="K42" s="4" t="s">
        <v>337</v>
      </c>
      <c r="L42" s="2" t="s">
        <v>282</v>
      </c>
      <c r="M42" s="2" t="s">
        <v>93</v>
      </c>
      <c r="N42" s="3" t="s">
        <v>653</v>
      </c>
      <c r="O42" s="5" t="s">
        <v>283</v>
      </c>
    </row>
    <row r="43" spans="1:15" ht="30" customHeight="1">
      <c r="A43" s="6" t="s">
        <v>338</v>
      </c>
      <c r="B43" s="2" t="s">
        <v>285</v>
      </c>
      <c r="C43" s="2" t="s">
        <v>286</v>
      </c>
      <c r="D43" s="2" t="s">
        <v>287</v>
      </c>
      <c r="E43" s="2">
        <v>9</v>
      </c>
      <c r="F43" s="2" t="s">
        <v>339</v>
      </c>
      <c r="G43" s="7" t="s">
        <v>340</v>
      </c>
      <c r="H43" s="4" t="s">
        <v>341</v>
      </c>
      <c r="I43" s="2" t="s">
        <v>342</v>
      </c>
      <c r="J43" s="7" t="s">
        <v>343</v>
      </c>
      <c r="K43" s="4" t="s">
        <v>344</v>
      </c>
      <c r="L43" s="2" t="s">
        <v>131</v>
      </c>
      <c r="M43" s="2" t="s">
        <v>93</v>
      </c>
      <c r="N43" s="3" t="s">
        <v>653</v>
      </c>
      <c r="O43" s="5" t="s">
        <v>345</v>
      </c>
    </row>
    <row r="44" spans="1:15" ht="30" customHeight="1">
      <c r="A44" s="6" t="s">
        <v>346</v>
      </c>
      <c r="B44" s="2" t="s">
        <v>285</v>
      </c>
      <c r="C44" s="2" t="s">
        <v>286</v>
      </c>
      <c r="D44" s="2" t="s">
        <v>287</v>
      </c>
      <c r="E44" s="2">
        <v>10</v>
      </c>
      <c r="F44" s="2" t="s">
        <v>347</v>
      </c>
      <c r="G44" s="7" t="s">
        <v>348</v>
      </c>
      <c r="H44" s="4" t="s">
        <v>349</v>
      </c>
      <c r="I44" s="2" t="s">
        <v>350</v>
      </c>
      <c r="J44" s="7" t="s">
        <v>351</v>
      </c>
      <c r="K44" s="4" t="s">
        <v>352</v>
      </c>
      <c r="L44" s="2" t="s">
        <v>131</v>
      </c>
      <c r="M44" s="2" t="s">
        <v>44</v>
      </c>
      <c r="N44" s="3" t="s">
        <v>653</v>
      </c>
      <c r="O44" s="5" t="s">
        <v>77</v>
      </c>
    </row>
    <row r="45" spans="1:15" ht="30" customHeight="1">
      <c r="A45" s="6" t="s">
        <v>353</v>
      </c>
      <c r="B45" s="2" t="s">
        <v>354</v>
      </c>
      <c r="C45" s="2" t="s">
        <v>355</v>
      </c>
      <c r="D45" s="2" t="s">
        <v>356</v>
      </c>
      <c r="E45" s="2">
        <v>1</v>
      </c>
      <c r="F45" s="2" t="s">
        <v>357</v>
      </c>
      <c r="G45" s="7" t="s">
        <v>358</v>
      </c>
      <c r="H45" s="4" t="s">
        <v>359</v>
      </c>
      <c r="I45" s="2" t="s">
        <v>360</v>
      </c>
      <c r="J45" s="7" t="s">
        <v>361</v>
      </c>
      <c r="K45" s="4" t="s">
        <v>362</v>
      </c>
      <c r="L45" s="2" t="s">
        <v>43</v>
      </c>
      <c r="M45" s="2" t="s">
        <v>44</v>
      </c>
      <c r="N45" s="3" t="s">
        <v>653</v>
      </c>
      <c r="O45" s="5" t="s">
        <v>132</v>
      </c>
    </row>
    <row r="46" spans="1:15" ht="30" customHeight="1">
      <c r="A46" s="6" t="s">
        <v>363</v>
      </c>
      <c r="B46" s="2" t="s">
        <v>354</v>
      </c>
      <c r="C46" s="2" t="s">
        <v>355</v>
      </c>
      <c r="D46" s="2" t="s">
        <v>356</v>
      </c>
      <c r="E46" s="2">
        <v>2</v>
      </c>
      <c r="F46" s="2" t="s">
        <v>364</v>
      </c>
      <c r="G46" s="7" t="s">
        <v>365</v>
      </c>
      <c r="H46" s="4" t="s">
        <v>366</v>
      </c>
      <c r="I46" s="2" t="s">
        <v>367</v>
      </c>
      <c r="J46" s="7" t="s">
        <v>368</v>
      </c>
      <c r="K46" s="4" t="s">
        <v>369</v>
      </c>
      <c r="L46" s="2" t="s">
        <v>43</v>
      </c>
      <c r="M46" s="2" t="s">
        <v>44</v>
      </c>
      <c r="N46" s="3" t="s">
        <v>653</v>
      </c>
      <c r="O46" s="5" t="s">
        <v>170</v>
      </c>
    </row>
    <row r="47" spans="1:15" ht="30" customHeight="1">
      <c r="A47" s="6" t="s">
        <v>370</v>
      </c>
      <c r="B47" s="2" t="s">
        <v>354</v>
      </c>
      <c r="C47" s="2" t="s">
        <v>355</v>
      </c>
      <c r="D47" s="2" t="s">
        <v>356</v>
      </c>
      <c r="E47" s="2">
        <v>3</v>
      </c>
      <c r="F47" s="2" t="s">
        <v>371</v>
      </c>
      <c r="G47" s="7" t="s">
        <v>372</v>
      </c>
      <c r="H47" s="4" t="s">
        <v>373</v>
      </c>
      <c r="I47" s="2" t="s">
        <v>374</v>
      </c>
      <c r="J47" s="7" t="s">
        <v>375</v>
      </c>
      <c r="K47" s="4" t="s">
        <v>376</v>
      </c>
      <c r="L47" s="2" t="s">
        <v>43</v>
      </c>
      <c r="M47" s="2" t="s">
        <v>44</v>
      </c>
      <c r="N47" s="3" t="s">
        <v>653</v>
      </c>
      <c r="O47" s="5" t="s">
        <v>77</v>
      </c>
    </row>
    <row r="48" spans="1:15" ht="30" customHeight="1">
      <c r="A48" s="6" t="s">
        <v>377</v>
      </c>
      <c r="B48" s="2" t="s">
        <v>354</v>
      </c>
      <c r="C48" s="2" t="s">
        <v>355</v>
      </c>
      <c r="D48" s="2" t="s">
        <v>356</v>
      </c>
      <c r="E48" s="2">
        <v>4</v>
      </c>
      <c r="F48" s="2" t="s">
        <v>378</v>
      </c>
      <c r="G48" s="7" t="s">
        <v>379</v>
      </c>
      <c r="H48" s="4" t="s">
        <v>380</v>
      </c>
      <c r="I48" s="2" t="s">
        <v>381</v>
      </c>
      <c r="J48" s="7" t="s">
        <v>382</v>
      </c>
      <c r="K48" s="4" t="s">
        <v>383</v>
      </c>
      <c r="L48" s="2" t="s">
        <v>43</v>
      </c>
      <c r="M48" s="2" t="s">
        <v>44</v>
      </c>
      <c r="N48" s="3" t="s">
        <v>653</v>
      </c>
      <c r="O48" s="5" t="s">
        <v>202</v>
      </c>
    </row>
    <row r="49" spans="1:15" ht="30" customHeight="1">
      <c r="A49" s="6" t="s">
        <v>384</v>
      </c>
      <c r="B49" s="2" t="s">
        <v>354</v>
      </c>
      <c r="C49" s="2" t="s">
        <v>355</v>
      </c>
      <c r="D49" s="2" t="s">
        <v>356</v>
      </c>
      <c r="E49" s="2">
        <v>5</v>
      </c>
      <c r="F49" s="2" t="s">
        <v>385</v>
      </c>
      <c r="G49" s="7" t="s">
        <v>386</v>
      </c>
      <c r="H49" s="4" t="s">
        <v>387</v>
      </c>
      <c r="I49" s="2" t="s">
        <v>388</v>
      </c>
      <c r="J49" s="7" t="s">
        <v>389</v>
      </c>
      <c r="K49" s="4" t="s">
        <v>390</v>
      </c>
      <c r="L49" s="2" t="s">
        <v>43</v>
      </c>
      <c r="M49" s="2" t="s">
        <v>93</v>
      </c>
      <c r="N49" s="3" t="s">
        <v>653</v>
      </c>
      <c r="O49" s="5" t="s">
        <v>391</v>
      </c>
    </row>
    <row r="50" spans="1:15" ht="30" customHeight="1">
      <c r="A50" s="6" t="s">
        <v>392</v>
      </c>
      <c r="B50" s="2" t="s">
        <v>354</v>
      </c>
      <c r="C50" s="2" t="s">
        <v>355</v>
      </c>
      <c r="D50" s="2" t="s">
        <v>356</v>
      </c>
      <c r="E50" s="2">
        <v>6</v>
      </c>
      <c r="F50" s="2" t="s">
        <v>393</v>
      </c>
      <c r="G50" s="7" t="s">
        <v>394</v>
      </c>
      <c r="H50" s="4" t="s">
        <v>395</v>
      </c>
      <c r="I50" s="2" t="s">
        <v>396</v>
      </c>
      <c r="J50" s="7" t="s">
        <v>397</v>
      </c>
      <c r="K50" s="4" t="s">
        <v>398</v>
      </c>
      <c r="L50" s="2" t="s">
        <v>43</v>
      </c>
      <c r="M50" s="2" t="s">
        <v>93</v>
      </c>
      <c r="N50" s="3" t="s">
        <v>653</v>
      </c>
      <c r="O50" s="5" t="s">
        <v>94</v>
      </c>
    </row>
    <row r="51" spans="1:15" ht="30" customHeight="1">
      <c r="A51" s="6" t="s">
        <v>399</v>
      </c>
      <c r="B51" s="2" t="s">
        <v>354</v>
      </c>
      <c r="C51" s="2" t="s">
        <v>355</v>
      </c>
      <c r="D51" s="2" t="s">
        <v>356</v>
      </c>
      <c r="E51" s="2">
        <v>7</v>
      </c>
      <c r="F51" s="2" t="s">
        <v>237</v>
      </c>
      <c r="G51" s="7" t="s">
        <v>238</v>
      </c>
      <c r="H51" s="4" t="s">
        <v>239</v>
      </c>
      <c r="I51" s="2" t="s">
        <v>400</v>
      </c>
      <c r="J51" s="7" t="s">
        <v>401</v>
      </c>
      <c r="K51" s="4" t="s">
        <v>402</v>
      </c>
      <c r="L51" s="2" t="s">
        <v>43</v>
      </c>
      <c r="M51" s="2" t="s">
        <v>93</v>
      </c>
      <c r="N51" s="3" t="s">
        <v>653</v>
      </c>
      <c r="O51" s="5" t="s">
        <v>403</v>
      </c>
    </row>
    <row r="52" spans="1:15" ht="30" customHeight="1">
      <c r="A52" s="6" t="s">
        <v>404</v>
      </c>
      <c r="B52" s="2" t="s">
        <v>354</v>
      </c>
      <c r="C52" s="2" t="s">
        <v>355</v>
      </c>
      <c r="D52" s="2" t="s">
        <v>356</v>
      </c>
      <c r="E52" s="2">
        <v>8</v>
      </c>
      <c r="F52" s="2" t="s">
        <v>405</v>
      </c>
      <c r="G52" s="7" t="s">
        <v>406</v>
      </c>
      <c r="H52" s="4" t="s">
        <v>407</v>
      </c>
      <c r="I52" s="2" t="s">
        <v>408</v>
      </c>
      <c r="J52" s="7" t="s">
        <v>409</v>
      </c>
      <c r="K52" s="4" t="s">
        <v>410</v>
      </c>
      <c r="L52" s="2" t="s">
        <v>43</v>
      </c>
      <c r="M52" s="2" t="s">
        <v>93</v>
      </c>
      <c r="N52" s="3" t="s">
        <v>653</v>
      </c>
      <c r="O52" s="5" t="s">
        <v>411</v>
      </c>
    </row>
    <row r="53" spans="1:15" ht="30" customHeight="1">
      <c r="A53" s="6" t="s">
        <v>412</v>
      </c>
      <c r="B53" s="2" t="s">
        <v>354</v>
      </c>
      <c r="C53" s="2" t="s">
        <v>355</v>
      </c>
      <c r="D53" s="2" t="s">
        <v>356</v>
      </c>
      <c r="E53" s="2">
        <v>9</v>
      </c>
      <c r="F53" s="2" t="s">
        <v>413</v>
      </c>
      <c r="G53" s="7" t="s">
        <v>414</v>
      </c>
      <c r="H53" s="4" t="s">
        <v>415</v>
      </c>
      <c r="I53" s="2" t="s">
        <v>416</v>
      </c>
      <c r="J53" s="7" t="s">
        <v>417</v>
      </c>
      <c r="K53" s="4" t="s">
        <v>418</v>
      </c>
      <c r="L53" s="2" t="s">
        <v>43</v>
      </c>
      <c r="M53" s="2" t="s">
        <v>93</v>
      </c>
      <c r="N53" s="3" t="s">
        <v>653</v>
      </c>
      <c r="O53" s="5" t="s">
        <v>202</v>
      </c>
    </row>
    <row r="54" spans="1:15" ht="30" customHeight="1">
      <c r="A54" s="6" t="s">
        <v>419</v>
      </c>
      <c r="B54" s="2" t="s">
        <v>354</v>
      </c>
      <c r="C54" s="2" t="s">
        <v>355</v>
      </c>
      <c r="D54" s="2" t="s">
        <v>356</v>
      </c>
      <c r="E54" s="2">
        <v>10</v>
      </c>
      <c r="F54" s="2" t="s">
        <v>420</v>
      </c>
      <c r="G54" s="7" t="s">
        <v>421</v>
      </c>
      <c r="H54" s="4" t="s">
        <v>422</v>
      </c>
      <c r="I54" s="2" t="s">
        <v>423</v>
      </c>
      <c r="J54" s="7" t="s">
        <v>424</v>
      </c>
      <c r="K54" s="4" t="s">
        <v>425</v>
      </c>
      <c r="L54" s="2" t="s">
        <v>426</v>
      </c>
      <c r="M54" s="2" t="s">
        <v>93</v>
      </c>
      <c r="N54" s="3" t="s">
        <v>653</v>
      </c>
      <c r="O54" s="5" t="s">
        <v>427</v>
      </c>
    </row>
    <row r="55" spans="1:15" ht="30" customHeight="1">
      <c r="A55" s="6" t="s">
        <v>428</v>
      </c>
      <c r="B55" s="2" t="s">
        <v>429</v>
      </c>
      <c r="C55" s="2" t="s">
        <v>430</v>
      </c>
      <c r="D55" s="2" t="s">
        <v>431</v>
      </c>
      <c r="E55" s="2">
        <v>1</v>
      </c>
      <c r="F55" s="2" t="s">
        <v>432</v>
      </c>
      <c r="G55" s="7" t="s">
        <v>433</v>
      </c>
      <c r="H55" s="4" t="s">
        <v>434</v>
      </c>
      <c r="I55" s="2" t="s">
        <v>435</v>
      </c>
      <c r="J55" s="7" t="s">
        <v>436</v>
      </c>
      <c r="K55" s="4" t="s">
        <v>437</v>
      </c>
      <c r="L55" s="2" t="s">
        <v>43</v>
      </c>
      <c r="M55" s="2" t="s">
        <v>44</v>
      </c>
      <c r="N55" s="3" t="s">
        <v>653</v>
      </c>
      <c r="O55" s="5" t="s">
        <v>132</v>
      </c>
    </row>
    <row r="56" spans="1:15" ht="30" customHeight="1">
      <c r="A56" s="6" t="s">
        <v>438</v>
      </c>
      <c r="B56" s="2" t="s">
        <v>429</v>
      </c>
      <c r="C56" s="2" t="s">
        <v>430</v>
      </c>
      <c r="D56" s="2" t="s">
        <v>431</v>
      </c>
      <c r="E56" s="2">
        <v>2</v>
      </c>
      <c r="F56" s="2" t="s">
        <v>439</v>
      </c>
      <c r="G56" s="7" t="s">
        <v>440</v>
      </c>
      <c r="H56" s="4" t="s">
        <v>441</v>
      </c>
      <c r="I56" s="2" t="s">
        <v>442</v>
      </c>
      <c r="J56" s="7" t="s">
        <v>443</v>
      </c>
      <c r="K56" s="4" t="s">
        <v>444</v>
      </c>
      <c r="L56" s="2" t="s">
        <v>43</v>
      </c>
      <c r="M56" s="2" t="s">
        <v>44</v>
      </c>
      <c r="N56" s="3" t="s">
        <v>653</v>
      </c>
      <c r="O56" s="5" t="s">
        <v>170</v>
      </c>
    </row>
    <row r="57" spans="1:15" ht="30" customHeight="1">
      <c r="A57" s="6" t="s">
        <v>445</v>
      </c>
      <c r="B57" s="2" t="s">
        <v>429</v>
      </c>
      <c r="C57" s="2" t="s">
        <v>430</v>
      </c>
      <c r="D57" s="2" t="s">
        <v>431</v>
      </c>
      <c r="E57" s="2">
        <v>3</v>
      </c>
      <c r="F57" s="2" t="s">
        <v>446</v>
      </c>
      <c r="G57" s="7" t="s">
        <v>447</v>
      </c>
      <c r="H57" s="4" t="s">
        <v>448</v>
      </c>
      <c r="I57" s="2" t="s">
        <v>449</v>
      </c>
      <c r="J57" s="7" t="s">
        <v>450</v>
      </c>
      <c r="K57" s="4" t="s">
        <v>451</v>
      </c>
      <c r="L57" s="2" t="s">
        <v>43</v>
      </c>
      <c r="M57" s="2" t="s">
        <v>44</v>
      </c>
      <c r="N57" s="3" t="s">
        <v>653</v>
      </c>
      <c r="O57" s="5" t="s">
        <v>452</v>
      </c>
    </row>
    <row r="58" spans="1:15" ht="30" customHeight="1">
      <c r="A58" s="6" t="s">
        <v>453</v>
      </c>
      <c r="B58" s="2" t="s">
        <v>429</v>
      </c>
      <c r="C58" s="2" t="s">
        <v>430</v>
      </c>
      <c r="D58" s="2" t="s">
        <v>431</v>
      </c>
      <c r="E58" s="2">
        <v>4</v>
      </c>
      <c r="F58" s="2" t="s">
        <v>454</v>
      </c>
      <c r="G58" s="7" t="s">
        <v>455</v>
      </c>
      <c r="H58" s="4" t="s">
        <v>456</v>
      </c>
      <c r="I58" s="2" t="s">
        <v>457</v>
      </c>
      <c r="J58" s="7" t="s">
        <v>458</v>
      </c>
      <c r="K58" s="4" t="s">
        <v>459</v>
      </c>
      <c r="L58" s="2" t="s">
        <v>43</v>
      </c>
      <c r="M58" s="2" t="s">
        <v>93</v>
      </c>
      <c r="N58" s="3" t="s">
        <v>653</v>
      </c>
      <c r="O58" s="5" t="s">
        <v>460</v>
      </c>
    </row>
    <row r="59" spans="1:15" ht="30" customHeight="1">
      <c r="A59" s="6" t="s">
        <v>461</v>
      </c>
      <c r="B59" s="2" t="s">
        <v>429</v>
      </c>
      <c r="C59" s="2" t="s">
        <v>430</v>
      </c>
      <c r="D59" s="2" t="s">
        <v>431</v>
      </c>
      <c r="E59" s="2">
        <v>5</v>
      </c>
      <c r="F59" s="2" t="s">
        <v>462</v>
      </c>
      <c r="G59" s="7" t="s">
        <v>463</v>
      </c>
      <c r="H59" s="4" t="s">
        <v>464</v>
      </c>
      <c r="I59" s="2" t="s">
        <v>465</v>
      </c>
      <c r="J59" s="7" t="s">
        <v>466</v>
      </c>
      <c r="K59" s="4" t="s">
        <v>467</v>
      </c>
      <c r="L59" s="2" t="s">
        <v>43</v>
      </c>
      <c r="M59" s="2" t="s">
        <v>44</v>
      </c>
      <c r="N59" s="3" t="s">
        <v>653</v>
      </c>
      <c r="O59" s="5" t="s">
        <v>468</v>
      </c>
    </row>
    <row r="60" spans="1:15" ht="30" customHeight="1">
      <c r="A60" s="6" t="s">
        <v>469</v>
      </c>
      <c r="B60" s="2" t="s">
        <v>429</v>
      </c>
      <c r="C60" s="2" t="s">
        <v>430</v>
      </c>
      <c r="D60" s="2" t="s">
        <v>431</v>
      </c>
      <c r="E60" s="2">
        <v>6</v>
      </c>
      <c r="F60" s="2" t="s">
        <v>470</v>
      </c>
      <c r="G60" s="7" t="s">
        <v>471</v>
      </c>
      <c r="H60" s="4" t="s">
        <v>472</v>
      </c>
      <c r="I60" s="2" t="s">
        <v>473</v>
      </c>
      <c r="J60" s="7" t="s">
        <v>474</v>
      </c>
      <c r="K60" s="4" t="s">
        <v>475</v>
      </c>
      <c r="L60" s="2" t="s">
        <v>43</v>
      </c>
      <c r="M60" s="2" t="s">
        <v>44</v>
      </c>
      <c r="N60" s="3" t="s">
        <v>653</v>
      </c>
      <c r="O60" s="5" t="s">
        <v>476</v>
      </c>
    </row>
    <row r="61" spans="1:15" ht="30" customHeight="1">
      <c r="A61" s="6" t="s">
        <v>477</v>
      </c>
      <c r="B61" s="2" t="s">
        <v>429</v>
      </c>
      <c r="C61" s="2" t="s">
        <v>430</v>
      </c>
      <c r="D61" s="2" t="s">
        <v>431</v>
      </c>
      <c r="E61" s="2">
        <v>7</v>
      </c>
      <c r="F61" s="2" t="s">
        <v>478</v>
      </c>
      <c r="G61" s="7" t="s">
        <v>479</v>
      </c>
      <c r="H61" s="4" t="s">
        <v>480</v>
      </c>
      <c r="I61" s="2" t="s">
        <v>481</v>
      </c>
      <c r="J61" s="7" t="s">
        <v>482</v>
      </c>
      <c r="K61" s="4" t="s">
        <v>483</v>
      </c>
      <c r="L61" s="2" t="s">
        <v>43</v>
      </c>
      <c r="M61" s="2" t="s">
        <v>93</v>
      </c>
      <c r="N61" s="3" t="s">
        <v>653</v>
      </c>
      <c r="O61" s="5" t="s">
        <v>94</v>
      </c>
    </row>
    <row r="62" spans="1:15" ht="30" customHeight="1">
      <c r="A62" s="6" t="s">
        <v>484</v>
      </c>
      <c r="B62" s="2" t="s">
        <v>429</v>
      </c>
      <c r="C62" s="2" t="s">
        <v>430</v>
      </c>
      <c r="D62" s="2" t="s">
        <v>431</v>
      </c>
      <c r="E62" s="2">
        <v>8</v>
      </c>
      <c r="F62" s="2" t="s">
        <v>485</v>
      </c>
      <c r="G62" s="7" t="s">
        <v>486</v>
      </c>
      <c r="H62" s="4" t="s">
        <v>487</v>
      </c>
      <c r="I62" s="2" t="s">
        <v>488</v>
      </c>
      <c r="J62" s="7" t="s">
        <v>489</v>
      </c>
      <c r="K62" s="4" t="s">
        <v>490</v>
      </c>
      <c r="L62" s="2" t="s">
        <v>426</v>
      </c>
      <c r="M62" s="2" t="s">
        <v>44</v>
      </c>
      <c r="N62" s="3" t="s">
        <v>653</v>
      </c>
      <c r="O62" s="5" t="s">
        <v>491</v>
      </c>
    </row>
    <row r="63" spans="1:15" ht="30" customHeight="1">
      <c r="A63" s="6" t="s">
        <v>492</v>
      </c>
      <c r="B63" s="2" t="s">
        <v>429</v>
      </c>
      <c r="C63" s="2" t="s">
        <v>430</v>
      </c>
      <c r="D63" s="2" t="s">
        <v>431</v>
      </c>
      <c r="E63" s="2">
        <v>9</v>
      </c>
      <c r="F63" s="2" t="s">
        <v>493</v>
      </c>
      <c r="G63" s="7" t="s">
        <v>494</v>
      </c>
      <c r="H63" s="4" t="s">
        <v>495</v>
      </c>
      <c r="I63" s="2" t="s">
        <v>496</v>
      </c>
      <c r="J63" s="7" t="s">
        <v>497</v>
      </c>
      <c r="K63" s="4" t="s">
        <v>498</v>
      </c>
      <c r="L63" s="2" t="s">
        <v>426</v>
      </c>
      <c r="M63" s="2" t="s">
        <v>44</v>
      </c>
      <c r="N63" s="3" t="s">
        <v>653</v>
      </c>
      <c r="O63" s="5" t="s">
        <v>491</v>
      </c>
    </row>
    <row r="64" spans="1:15" ht="30" customHeight="1">
      <c r="A64" s="6" t="s">
        <v>499</v>
      </c>
      <c r="B64" s="2" t="s">
        <v>429</v>
      </c>
      <c r="C64" s="2" t="s">
        <v>430</v>
      </c>
      <c r="D64" s="2" t="s">
        <v>431</v>
      </c>
      <c r="E64" s="2">
        <v>10</v>
      </c>
      <c r="F64" s="2" t="s">
        <v>500</v>
      </c>
      <c r="G64" s="7" t="s">
        <v>501</v>
      </c>
      <c r="H64" s="4" t="s">
        <v>502</v>
      </c>
      <c r="I64" s="2" t="s">
        <v>503</v>
      </c>
      <c r="J64" s="7" t="s">
        <v>504</v>
      </c>
      <c r="K64" s="4" t="s">
        <v>505</v>
      </c>
      <c r="L64" s="2" t="s">
        <v>426</v>
      </c>
      <c r="M64" s="2" t="s">
        <v>44</v>
      </c>
      <c r="N64" s="3" t="s">
        <v>653</v>
      </c>
      <c r="O64" s="5" t="s">
        <v>506</v>
      </c>
    </row>
    <row r="65" spans="1:15" ht="30" customHeight="1">
      <c r="A65" s="6" t="s">
        <v>507</v>
      </c>
      <c r="B65" s="2" t="s">
        <v>508</v>
      </c>
      <c r="C65" s="2" t="s">
        <v>509</v>
      </c>
      <c r="D65" s="2" t="s">
        <v>510</v>
      </c>
      <c r="E65" s="2">
        <v>1</v>
      </c>
      <c r="F65" s="2" t="s">
        <v>511</v>
      </c>
      <c r="G65" s="7" t="s">
        <v>512</v>
      </c>
      <c r="H65" s="4" t="s">
        <v>513</v>
      </c>
      <c r="I65" s="2" t="s">
        <v>381</v>
      </c>
      <c r="J65" s="7" t="s">
        <v>382</v>
      </c>
      <c r="K65" s="4" t="s">
        <v>383</v>
      </c>
      <c r="L65" s="2" t="s">
        <v>43</v>
      </c>
      <c r="M65" s="2" t="s">
        <v>44</v>
      </c>
      <c r="N65" s="3" t="s">
        <v>653</v>
      </c>
      <c r="O65" s="5" t="s">
        <v>132</v>
      </c>
    </row>
    <row r="66" spans="1:15" ht="30" customHeight="1">
      <c r="A66" s="6" t="s">
        <v>514</v>
      </c>
      <c r="B66" s="2" t="s">
        <v>508</v>
      </c>
      <c r="C66" s="2" t="s">
        <v>509</v>
      </c>
      <c r="D66" s="2" t="s">
        <v>510</v>
      </c>
      <c r="E66" s="2">
        <v>2</v>
      </c>
      <c r="F66" s="2" t="s">
        <v>515</v>
      </c>
      <c r="G66" s="7" t="s">
        <v>516</v>
      </c>
      <c r="H66" s="4" t="s">
        <v>517</v>
      </c>
      <c r="I66" s="2" t="s">
        <v>518</v>
      </c>
      <c r="J66" s="7" t="s">
        <v>519</v>
      </c>
      <c r="K66" s="4" t="s">
        <v>520</v>
      </c>
      <c r="L66" s="2" t="s">
        <v>43</v>
      </c>
      <c r="M66" s="2" t="s">
        <v>44</v>
      </c>
      <c r="N66" s="3" t="s">
        <v>653</v>
      </c>
      <c r="O66" s="5" t="s">
        <v>460</v>
      </c>
    </row>
    <row r="67" spans="1:15" ht="30" customHeight="1">
      <c r="A67" s="6" t="s">
        <v>521</v>
      </c>
      <c r="B67" s="2" t="s">
        <v>508</v>
      </c>
      <c r="C67" s="2" t="s">
        <v>509</v>
      </c>
      <c r="D67" s="2" t="s">
        <v>510</v>
      </c>
      <c r="E67" s="2">
        <v>3</v>
      </c>
      <c r="F67" s="2" t="s">
        <v>522</v>
      </c>
      <c r="G67" s="7" t="s">
        <v>523</v>
      </c>
      <c r="H67" s="4" t="s">
        <v>524</v>
      </c>
      <c r="I67" s="2" t="s">
        <v>525</v>
      </c>
      <c r="J67" s="7" t="s">
        <v>526</v>
      </c>
      <c r="K67" s="4" t="s">
        <v>527</v>
      </c>
      <c r="L67" s="2" t="s">
        <v>43</v>
      </c>
      <c r="M67" s="2" t="s">
        <v>44</v>
      </c>
      <c r="N67" s="3" t="s">
        <v>653</v>
      </c>
      <c r="O67" s="5" t="s">
        <v>170</v>
      </c>
    </row>
    <row r="68" spans="1:15" ht="30" customHeight="1">
      <c r="A68" s="6" t="s">
        <v>528</v>
      </c>
      <c r="B68" s="2" t="s">
        <v>508</v>
      </c>
      <c r="C68" s="2" t="s">
        <v>509</v>
      </c>
      <c r="D68" s="2" t="s">
        <v>510</v>
      </c>
      <c r="E68" s="2">
        <v>4</v>
      </c>
      <c r="F68" s="2" t="s">
        <v>529</v>
      </c>
      <c r="G68" s="7" t="s">
        <v>530</v>
      </c>
      <c r="H68" s="4" t="s">
        <v>531</v>
      </c>
      <c r="I68" s="2" t="s">
        <v>532</v>
      </c>
      <c r="J68" s="7" t="s">
        <v>533</v>
      </c>
      <c r="K68" s="4" t="s">
        <v>534</v>
      </c>
      <c r="L68" s="2" t="s">
        <v>43</v>
      </c>
      <c r="M68" s="2" t="s">
        <v>93</v>
      </c>
      <c r="N68" s="3" t="s">
        <v>653</v>
      </c>
      <c r="O68" s="5" t="s">
        <v>411</v>
      </c>
    </row>
    <row r="69" spans="1:15" ht="30" customHeight="1">
      <c r="A69" s="6" t="s">
        <v>535</v>
      </c>
      <c r="B69" s="2" t="s">
        <v>508</v>
      </c>
      <c r="C69" s="2" t="s">
        <v>509</v>
      </c>
      <c r="D69" s="2" t="s">
        <v>510</v>
      </c>
      <c r="E69" s="2">
        <v>5</v>
      </c>
      <c r="F69" s="2" t="s">
        <v>536</v>
      </c>
      <c r="G69" s="7" t="s">
        <v>537</v>
      </c>
      <c r="H69" s="4" t="s">
        <v>538</v>
      </c>
      <c r="I69" s="2" t="s">
        <v>539</v>
      </c>
      <c r="J69" s="7" t="s">
        <v>540</v>
      </c>
      <c r="K69" s="4" t="s">
        <v>541</v>
      </c>
      <c r="L69" s="2" t="s">
        <v>43</v>
      </c>
      <c r="M69" s="2" t="s">
        <v>93</v>
      </c>
      <c r="N69" s="3" t="s">
        <v>653</v>
      </c>
      <c r="O69" s="5" t="s">
        <v>542</v>
      </c>
    </row>
    <row r="70" spans="1:15" ht="30" customHeight="1">
      <c r="A70" s="6" t="s">
        <v>543</v>
      </c>
      <c r="B70" s="2" t="s">
        <v>508</v>
      </c>
      <c r="C70" s="2" t="s">
        <v>509</v>
      </c>
      <c r="D70" s="2" t="s">
        <v>510</v>
      </c>
      <c r="E70" s="2">
        <v>6</v>
      </c>
      <c r="F70" s="2" t="s">
        <v>544</v>
      </c>
      <c r="G70" s="7" t="s">
        <v>545</v>
      </c>
      <c r="H70" s="4" t="s">
        <v>546</v>
      </c>
      <c r="I70" s="2" t="s">
        <v>547</v>
      </c>
      <c r="J70" s="7" t="s">
        <v>548</v>
      </c>
      <c r="K70" s="4" t="s">
        <v>549</v>
      </c>
      <c r="L70" s="2" t="s">
        <v>43</v>
      </c>
      <c r="M70" s="2" t="s">
        <v>93</v>
      </c>
      <c r="N70" s="3" t="s">
        <v>653</v>
      </c>
      <c r="O70" s="5" t="s">
        <v>550</v>
      </c>
    </row>
    <row r="71" spans="1:15" ht="30" customHeight="1">
      <c r="A71" s="6" t="s">
        <v>551</v>
      </c>
      <c r="B71" s="2" t="s">
        <v>508</v>
      </c>
      <c r="C71" s="2" t="s">
        <v>509</v>
      </c>
      <c r="D71" s="2" t="s">
        <v>510</v>
      </c>
      <c r="E71" s="2">
        <v>7</v>
      </c>
      <c r="F71" s="2" t="s">
        <v>552</v>
      </c>
      <c r="G71" s="7" t="s">
        <v>553</v>
      </c>
      <c r="H71" s="4" t="s">
        <v>554</v>
      </c>
      <c r="I71" s="2" t="s">
        <v>416</v>
      </c>
      <c r="J71" s="7" t="s">
        <v>417</v>
      </c>
      <c r="K71" s="4" t="s">
        <v>418</v>
      </c>
      <c r="L71" s="2" t="s">
        <v>43</v>
      </c>
      <c r="M71" s="2" t="s">
        <v>44</v>
      </c>
      <c r="N71" s="3" t="s">
        <v>653</v>
      </c>
      <c r="O71" s="5" t="s">
        <v>452</v>
      </c>
    </row>
    <row r="72" spans="1:15" ht="30" customHeight="1">
      <c r="A72" s="6" t="s">
        <v>555</v>
      </c>
      <c r="B72" s="2" t="s">
        <v>508</v>
      </c>
      <c r="C72" s="2" t="s">
        <v>509</v>
      </c>
      <c r="D72" s="2" t="s">
        <v>510</v>
      </c>
      <c r="E72" s="2">
        <v>8</v>
      </c>
      <c r="F72" s="2" t="s">
        <v>556</v>
      </c>
      <c r="G72" s="7" t="s">
        <v>557</v>
      </c>
      <c r="H72" s="4" t="s">
        <v>558</v>
      </c>
      <c r="I72" s="2" t="s">
        <v>396</v>
      </c>
      <c r="J72" s="7" t="s">
        <v>397</v>
      </c>
      <c r="K72" s="4" t="s">
        <v>398</v>
      </c>
      <c r="L72" s="2" t="s">
        <v>43</v>
      </c>
      <c r="M72" s="2" t="s">
        <v>93</v>
      </c>
      <c r="N72" s="3" t="s">
        <v>653</v>
      </c>
      <c r="O72" s="5" t="s">
        <v>460</v>
      </c>
    </row>
    <row r="73" spans="1:15" ht="30" customHeight="1">
      <c r="A73" s="6" t="s">
        <v>559</v>
      </c>
      <c r="B73" s="2" t="s">
        <v>508</v>
      </c>
      <c r="C73" s="2" t="s">
        <v>509</v>
      </c>
      <c r="D73" s="2" t="s">
        <v>510</v>
      </c>
      <c r="E73" s="2">
        <v>9</v>
      </c>
      <c r="F73" s="2" t="s">
        <v>560</v>
      </c>
      <c r="G73" s="7" t="s">
        <v>561</v>
      </c>
      <c r="H73" s="4" t="s">
        <v>562</v>
      </c>
      <c r="I73" s="2" t="s">
        <v>388</v>
      </c>
      <c r="J73" s="7" t="s">
        <v>389</v>
      </c>
      <c r="K73" s="4" t="s">
        <v>390</v>
      </c>
      <c r="L73" s="2" t="s">
        <v>43</v>
      </c>
      <c r="M73" s="2" t="s">
        <v>44</v>
      </c>
      <c r="N73" s="3" t="s">
        <v>653</v>
      </c>
      <c r="O73" s="5" t="s">
        <v>170</v>
      </c>
    </row>
    <row r="74" spans="1:15" ht="30" customHeight="1">
      <c r="A74" s="6" t="s">
        <v>563</v>
      </c>
      <c r="B74" s="2" t="s">
        <v>508</v>
      </c>
      <c r="C74" s="2" t="s">
        <v>509</v>
      </c>
      <c r="D74" s="2" t="s">
        <v>510</v>
      </c>
      <c r="E74" s="2">
        <v>10</v>
      </c>
      <c r="F74" s="2" t="s">
        <v>564</v>
      </c>
      <c r="G74" s="7" t="s">
        <v>565</v>
      </c>
      <c r="H74" s="4" t="s">
        <v>566</v>
      </c>
      <c r="I74" s="2" t="s">
        <v>567</v>
      </c>
      <c r="J74" s="7" t="s">
        <v>568</v>
      </c>
      <c r="K74" s="4" t="s">
        <v>569</v>
      </c>
      <c r="L74" s="2" t="s">
        <v>43</v>
      </c>
      <c r="M74" s="2" t="s">
        <v>93</v>
      </c>
      <c r="N74" s="3" t="s">
        <v>653</v>
      </c>
      <c r="O74" s="5" t="s">
        <v>283</v>
      </c>
    </row>
    <row r="75" spans="1:15" ht="30" customHeight="1">
      <c r="A75" s="6" t="s">
        <v>570</v>
      </c>
      <c r="B75" s="2" t="s">
        <v>571</v>
      </c>
      <c r="C75" s="2" t="s">
        <v>572</v>
      </c>
      <c r="D75" s="2" t="s">
        <v>573</v>
      </c>
      <c r="E75" s="2">
        <v>1</v>
      </c>
      <c r="F75" s="2" t="s">
        <v>439</v>
      </c>
      <c r="G75" s="7" t="s">
        <v>440</v>
      </c>
      <c r="H75" s="4" t="s">
        <v>441</v>
      </c>
      <c r="I75" s="2" t="s">
        <v>574</v>
      </c>
      <c r="J75" s="7" t="s">
        <v>575</v>
      </c>
      <c r="K75" s="4" t="s">
        <v>576</v>
      </c>
      <c r="L75" s="2" t="s">
        <v>426</v>
      </c>
      <c r="M75" s="2" t="s">
        <v>44</v>
      </c>
      <c r="N75" s="3" t="s">
        <v>653</v>
      </c>
      <c r="O75" s="5" t="s">
        <v>132</v>
      </c>
    </row>
    <row r="76" spans="1:15" ht="30" customHeight="1">
      <c r="A76" s="6" t="s">
        <v>577</v>
      </c>
      <c r="B76" s="2" t="s">
        <v>571</v>
      </c>
      <c r="C76" s="2" t="s">
        <v>572</v>
      </c>
      <c r="D76" s="2" t="s">
        <v>573</v>
      </c>
      <c r="E76" s="2">
        <v>2</v>
      </c>
      <c r="F76" s="2" t="s">
        <v>578</v>
      </c>
      <c r="G76" s="7" t="s">
        <v>579</v>
      </c>
      <c r="H76" s="4" t="s">
        <v>580</v>
      </c>
      <c r="I76" s="2" t="s">
        <v>581</v>
      </c>
      <c r="J76" s="7" t="s">
        <v>582</v>
      </c>
      <c r="K76" s="4" t="s">
        <v>583</v>
      </c>
      <c r="L76" s="2" t="s">
        <v>426</v>
      </c>
      <c r="M76" s="2" t="s">
        <v>44</v>
      </c>
      <c r="N76" s="3" t="s">
        <v>653</v>
      </c>
      <c r="O76" s="5" t="s">
        <v>77</v>
      </c>
    </row>
    <row r="77" spans="1:15" ht="30" customHeight="1">
      <c r="A77" s="6" t="s">
        <v>584</v>
      </c>
      <c r="B77" s="2" t="s">
        <v>571</v>
      </c>
      <c r="C77" s="2" t="s">
        <v>572</v>
      </c>
      <c r="D77" s="2" t="s">
        <v>573</v>
      </c>
      <c r="E77" s="2">
        <v>3</v>
      </c>
      <c r="F77" s="2" t="s">
        <v>442</v>
      </c>
      <c r="G77" s="7" t="s">
        <v>443</v>
      </c>
      <c r="H77" s="4" t="s">
        <v>444</v>
      </c>
      <c r="I77" s="2" t="s">
        <v>585</v>
      </c>
      <c r="J77" s="7" t="s">
        <v>586</v>
      </c>
      <c r="K77" s="4" t="s">
        <v>587</v>
      </c>
      <c r="L77" s="2" t="s">
        <v>426</v>
      </c>
      <c r="M77" s="2" t="s">
        <v>44</v>
      </c>
      <c r="N77" s="3" t="s">
        <v>653</v>
      </c>
      <c r="O77" s="5" t="s">
        <v>77</v>
      </c>
    </row>
    <row r="78" spans="1:15" ht="30" customHeight="1">
      <c r="A78" s="6" t="s">
        <v>588</v>
      </c>
      <c r="B78" s="2" t="s">
        <v>571</v>
      </c>
      <c r="C78" s="2" t="s">
        <v>572</v>
      </c>
      <c r="D78" s="2" t="s">
        <v>573</v>
      </c>
      <c r="E78" s="2">
        <v>4</v>
      </c>
      <c r="F78" s="2" t="s">
        <v>299</v>
      </c>
      <c r="G78" s="7" t="s">
        <v>300</v>
      </c>
      <c r="H78" s="4" t="s">
        <v>301</v>
      </c>
      <c r="I78" s="2" t="s">
        <v>339</v>
      </c>
      <c r="J78" s="7" t="s">
        <v>340</v>
      </c>
      <c r="K78" s="4" t="s">
        <v>341</v>
      </c>
      <c r="L78" s="2" t="s">
        <v>426</v>
      </c>
      <c r="M78" s="2" t="s">
        <v>44</v>
      </c>
      <c r="N78" s="3" t="s">
        <v>653</v>
      </c>
      <c r="O78" s="5" t="s">
        <v>589</v>
      </c>
    </row>
    <row r="79" spans="1:15" ht="30" customHeight="1">
      <c r="A79" s="6" t="s">
        <v>590</v>
      </c>
      <c r="B79" s="2" t="s">
        <v>571</v>
      </c>
      <c r="C79" s="2" t="s">
        <v>572</v>
      </c>
      <c r="D79" s="2" t="s">
        <v>573</v>
      </c>
      <c r="E79" s="2">
        <v>5</v>
      </c>
      <c r="F79" s="2" t="s">
        <v>364</v>
      </c>
      <c r="G79" s="7" t="s">
        <v>365</v>
      </c>
      <c r="H79" s="4" t="s">
        <v>366</v>
      </c>
      <c r="I79" s="2" t="s">
        <v>591</v>
      </c>
      <c r="J79" s="7" t="s">
        <v>592</v>
      </c>
      <c r="K79" s="4" t="s">
        <v>593</v>
      </c>
      <c r="L79" s="2" t="s">
        <v>426</v>
      </c>
      <c r="M79" s="2" t="s">
        <v>44</v>
      </c>
      <c r="N79" s="3" t="s">
        <v>653</v>
      </c>
      <c r="O79" s="5" t="s">
        <v>170</v>
      </c>
    </row>
    <row r="80" spans="1:15" ht="30" customHeight="1">
      <c r="A80" s="6" t="s">
        <v>594</v>
      </c>
      <c r="B80" s="2" t="s">
        <v>571</v>
      </c>
      <c r="C80" s="2" t="s">
        <v>572</v>
      </c>
      <c r="D80" s="2" t="s">
        <v>573</v>
      </c>
      <c r="E80" s="2">
        <v>6</v>
      </c>
      <c r="F80" s="2" t="s">
        <v>595</v>
      </c>
      <c r="G80" s="7" t="s">
        <v>596</v>
      </c>
      <c r="H80" s="4" t="s">
        <v>597</v>
      </c>
      <c r="I80" s="2" t="s">
        <v>598</v>
      </c>
      <c r="J80" s="7" t="s">
        <v>599</v>
      </c>
      <c r="K80" s="4" t="s">
        <v>600</v>
      </c>
      <c r="L80" s="2" t="s">
        <v>426</v>
      </c>
      <c r="M80" s="2" t="s">
        <v>44</v>
      </c>
      <c r="N80" s="3" t="s">
        <v>653</v>
      </c>
      <c r="O80" s="5" t="s">
        <v>53</v>
      </c>
    </row>
    <row r="81" spans="1:15" ht="30" customHeight="1">
      <c r="A81" s="6" t="s">
        <v>601</v>
      </c>
      <c r="B81" s="2" t="s">
        <v>571</v>
      </c>
      <c r="C81" s="2" t="s">
        <v>572</v>
      </c>
      <c r="D81" s="2" t="s">
        <v>573</v>
      </c>
      <c r="E81" s="2">
        <v>7</v>
      </c>
      <c r="F81" s="2" t="s">
        <v>302</v>
      </c>
      <c r="G81" s="7" t="s">
        <v>303</v>
      </c>
      <c r="H81" s="4" t="s">
        <v>304</v>
      </c>
      <c r="I81" s="2" t="s">
        <v>342</v>
      </c>
      <c r="J81" s="7" t="s">
        <v>343</v>
      </c>
      <c r="K81" s="4" t="s">
        <v>602</v>
      </c>
      <c r="L81" s="2" t="s">
        <v>426</v>
      </c>
      <c r="M81" s="2" t="s">
        <v>44</v>
      </c>
      <c r="N81" s="3" t="s">
        <v>653</v>
      </c>
      <c r="O81" s="5" t="s">
        <v>452</v>
      </c>
    </row>
    <row r="82" spans="1:15" ht="30" customHeight="1">
      <c r="A82" s="6" t="s">
        <v>603</v>
      </c>
      <c r="B82" s="2" t="s">
        <v>571</v>
      </c>
      <c r="C82" s="2" t="s">
        <v>572</v>
      </c>
      <c r="D82" s="2" t="s">
        <v>573</v>
      </c>
      <c r="E82" s="2">
        <v>8</v>
      </c>
      <c r="F82" s="2" t="s">
        <v>604</v>
      </c>
      <c r="G82" s="7" t="s">
        <v>605</v>
      </c>
      <c r="H82" s="4" t="s">
        <v>606</v>
      </c>
      <c r="I82" s="2" t="s">
        <v>607</v>
      </c>
      <c r="J82" s="7" t="s">
        <v>608</v>
      </c>
      <c r="K82" s="4" t="s">
        <v>609</v>
      </c>
      <c r="L82" s="2" t="s">
        <v>426</v>
      </c>
      <c r="M82" s="2" t="s">
        <v>93</v>
      </c>
      <c r="N82" s="3" t="s">
        <v>653</v>
      </c>
      <c r="O82" s="5" t="s">
        <v>610</v>
      </c>
    </row>
    <row r="83" spans="1:15" ht="30" customHeight="1">
      <c r="A83" s="6" t="s">
        <v>611</v>
      </c>
      <c r="B83" s="2" t="s">
        <v>571</v>
      </c>
      <c r="C83" s="2" t="s">
        <v>572</v>
      </c>
      <c r="D83" s="2" t="s">
        <v>573</v>
      </c>
      <c r="E83" s="2">
        <v>9</v>
      </c>
      <c r="F83" s="2" t="s">
        <v>612</v>
      </c>
      <c r="G83" s="7" t="s">
        <v>613</v>
      </c>
      <c r="H83" s="4" t="s">
        <v>614</v>
      </c>
      <c r="I83" s="2" t="s">
        <v>615</v>
      </c>
      <c r="J83" s="7" t="s">
        <v>616</v>
      </c>
      <c r="K83" s="4" t="s">
        <v>617</v>
      </c>
      <c r="L83" s="2" t="s">
        <v>426</v>
      </c>
      <c r="M83" s="2" t="s">
        <v>93</v>
      </c>
      <c r="N83" s="3" t="s">
        <v>654</v>
      </c>
      <c r="O83" s="5" t="s">
        <v>618</v>
      </c>
    </row>
    <row r="84" spans="1:15" ht="30" customHeight="1">
      <c r="A84" s="6" t="s">
        <v>619</v>
      </c>
      <c r="B84" s="2" t="s">
        <v>571</v>
      </c>
      <c r="C84" s="2" t="s">
        <v>572</v>
      </c>
      <c r="D84" s="2" t="s">
        <v>573</v>
      </c>
      <c r="E84" s="2">
        <v>10</v>
      </c>
      <c r="F84" s="2" t="s">
        <v>620</v>
      </c>
      <c r="G84" s="7" t="s">
        <v>621</v>
      </c>
      <c r="H84" s="4" t="s">
        <v>622</v>
      </c>
      <c r="I84" s="2" t="s">
        <v>623</v>
      </c>
      <c r="J84" s="7" t="s">
        <v>624</v>
      </c>
      <c r="K84" s="4" t="s">
        <v>625</v>
      </c>
      <c r="L84" s="2" t="s">
        <v>426</v>
      </c>
      <c r="M84" s="2" t="s">
        <v>93</v>
      </c>
      <c r="N84" s="3" t="s">
        <v>653</v>
      </c>
      <c r="O84" s="5" t="s">
        <v>626</v>
      </c>
    </row>
  </sheetData>
  <mergeCells count="2">
    <mergeCell ref="A1:O1"/>
    <mergeCell ref="A3:O3"/>
  </mergeCells>
  <phoneticPr fontId="13"/>
  <conditionalFormatting sqref="N5:N84">
    <cfRule type="containsText" dxfId="3" priority="1" operator="containsText" text="採用"/>
    <cfRule type="containsText" dxfId="2" priority="2" operator="containsText" text="修正"/>
    <cfRule type="containsText" dxfId="1" priority="3" operator="containsText" text="除外"/>
  </conditionalFormatting>
  <dataValidations count="1">
    <dataValidation type="list" sqref="N5:N84" xr:uid="{00000000-0002-0000-0100-000000000000}">
      <formula1>"未確認,採用,修正,除外"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selection sqref="A1:H1"/>
    </sheetView>
  </sheetViews>
  <sheetFormatPr baseColWidth="10" defaultColWidth="8.83203125" defaultRowHeight="14"/>
  <cols>
    <col min="1" max="1" width="11" customWidth="1"/>
    <col min="2" max="2" width="23" customWidth="1"/>
    <col min="3" max="3" width="14" customWidth="1"/>
    <col min="4" max="4" width="20" customWidth="1"/>
    <col min="5" max="5" width="42" customWidth="1"/>
    <col min="6" max="6" width="10" customWidth="1"/>
    <col min="7" max="7" width="12" customWidth="1"/>
    <col min="8" max="8" width="28" customWidth="1"/>
  </cols>
  <sheetData>
    <row r="1" spans="1:8" ht="36" customHeight="1">
      <c r="A1" s="9" t="s">
        <v>627</v>
      </c>
      <c r="B1" s="9"/>
      <c r="C1" s="9"/>
      <c r="D1" s="9"/>
      <c r="E1" s="9"/>
      <c r="F1" s="9"/>
      <c r="G1" s="9"/>
      <c r="H1" s="9"/>
    </row>
    <row r="3" spans="1:8">
      <c r="A3" s="25" t="s">
        <v>628</v>
      </c>
      <c r="B3" s="25"/>
      <c r="C3" s="25"/>
      <c r="D3" s="25"/>
      <c r="E3" s="25"/>
      <c r="F3" s="25"/>
      <c r="G3" s="25"/>
      <c r="H3" s="25"/>
    </row>
    <row r="5" spans="1:8">
      <c r="A5" t="s">
        <v>20</v>
      </c>
      <c r="B5" t="s">
        <v>629</v>
      </c>
      <c r="C5" t="s">
        <v>21</v>
      </c>
      <c r="D5" t="s">
        <v>630</v>
      </c>
      <c r="E5" t="s">
        <v>631</v>
      </c>
      <c r="F5" t="s">
        <v>632</v>
      </c>
      <c r="G5" t="s">
        <v>633</v>
      </c>
      <c r="H5" t="s">
        <v>634</v>
      </c>
    </row>
    <row r="6" spans="1:8" ht="34" customHeight="1">
      <c r="A6" t="s">
        <v>34</v>
      </c>
      <c r="B6" t="s">
        <v>35</v>
      </c>
      <c r="C6" t="s">
        <v>36</v>
      </c>
      <c r="D6" t="s">
        <v>635</v>
      </c>
      <c r="E6" s="8" t="s">
        <v>636</v>
      </c>
      <c r="F6">
        <f>COUNTIF(ペア一覧!$B$5:$B$84,A6)</f>
        <v>10</v>
      </c>
      <c r="G6" t="s">
        <v>637</v>
      </c>
      <c r="H6" s="1"/>
    </row>
    <row r="7" spans="1:8" ht="34" customHeight="1">
      <c r="A7" t="s">
        <v>122</v>
      </c>
      <c r="B7" t="s">
        <v>123</v>
      </c>
      <c r="C7" t="s">
        <v>124</v>
      </c>
      <c r="D7" t="s">
        <v>638</v>
      </c>
      <c r="E7" s="8" t="s">
        <v>639</v>
      </c>
      <c r="F7">
        <f>COUNTIF(ペア一覧!$B$5:$B$84,A7)</f>
        <v>10</v>
      </c>
      <c r="G7" t="s">
        <v>637</v>
      </c>
      <c r="H7" s="1"/>
    </row>
    <row r="8" spans="1:8" ht="34" customHeight="1">
      <c r="A8" t="s">
        <v>204</v>
      </c>
      <c r="B8" t="s">
        <v>205</v>
      </c>
      <c r="C8" t="s">
        <v>206</v>
      </c>
      <c r="D8" t="s">
        <v>640</v>
      </c>
      <c r="E8" s="8" t="s">
        <v>641</v>
      </c>
      <c r="F8">
        <f>COUNTIF(ペア一覧!$B$5:$B$84,A8)</f>
        <v>10</v>
      </c>
      <c r="G8" t="s">
        <v>642</v>
      </c>
      <c r="H8" s="1"/>
    </row>
    <row r="9" spans="1:8" ht="34" customHeight="1">
      <c r="A9" t="s">
        <v>285</v>
      </c>
      <c r="B9" t="s">
        <v>286</v>
      </c>
      <c r="C9" t="s">
        <v>287</v>
      </c>
      <c r="D9" t="s">
        <v>643</v>
      </c>
      <c r="E9" s="8" t="s">
        <v>644</v>
      </c>
      <c r="F9">
        <f>COUNTIF(ペア一覧!$B$5:$B$84,A9)</f>
        <v>10</v>
      </c>
      <c r="G9" t="s">
        <v>642</v>
      </c>
      <c r="H9" s="1"/>
    </row>
    <row r="10" spans="1:8" ht="34" customHeight="1">
      <c r="A10" t="s">
        <v>354</v>
      </c>
      <c r="B10" t="s">
        <v>355</v>
      </c>
      <c r="C10" t="s">
        <v>356</v>
      </c>
      <c r="D10" t="s">
        <v>645</v>
      </c>
      <c r="E10" s="8" t="s">
        <v>646</v>
      </c>
      <c r="F10">
        <f>COUNTIF(ペア一覧!$B$5:$B$84,A10)</f>
        <v>10</v>
      </c>
      <c r="G10" t="s">
        <v>637</v>
      </c>
      <c r="H10" s="1"/>
    </row>
    <row r="11" spans="1:8" ht="34" customHeight="1">
      <c r="A11" t="s">
        <v>429</v>
      </c>
      <c r="B11" t="s">
        <v>430</v>
      </c>
      <c r="C11" t="s">
        <v>431</v>
      </c>
      <c r="D11" t="s">
        <v>647</v>
      </c>
      <c r="E11" s="8" t="s">
        <v>648</v>
      </c>
      <c r="F11">
        <f>COUNTIF(ペア一覧!$B$5:$B$84,A11)</f>
        <v>10</v>
      </c>
      <c r="G11" t="s">
        <v>637</v>
      </c>
      <c r="H11" s="1"/>
    </row>
    <row r="12" spans="1:8" ht="34" customHeight="1">
      <c r="A12" t="s">
        <v>508</v>
      </c>
      <c r="B12" t="s">
        <v>509</v>
      </c>
      <c r="C12" t="s">
        <v>510</v>
      </c>
      <c r="D12" t="s">
        <v>649</v>
      </c>
      <c r="E12" s="8" t="s">
        <v>650</v>
      </c>
      <c r="F12">
        <f>COUNTIF(ペア一覧!$B$5:$B$84,A12)</f>
        <v>10</v>
      </c>
      <c r="G12" t="s">
        <v>642</v>
      </c>
      <c r="H12" s="1"/>
    </row>
    <row r="13" spans="1:8" ht="34" customHeight="1">
      <c r="A13" t="s">
        <v>571</v>
      </c>
      <c r="B13" t="s">
        <v>572</v>
      </c>
      <c r="C13" t="s">
        <v>573</v>
      </c>
      <c r="D13" t="s">
        <v>651</v>
      </c>
      <c r="E13" s="8" t="s">
        <v>652</v>
      </c>
      <c r="F13">
        <f>COUNTIF(ペア一覧!$B$5:$B$84,A13)</f>
        <v>10</v>
      </c>
      <c r="G13" t="s">
        <v>642</v>
      </c>
      <c r="H13" s="1"/>
    </row>
  </sheetData>
  <mergeCells count="2">
    <mergeCell ref="A1:H1"/>
    <mergeCell ref="A3:H3"/>
  </mergeCells>
  <phoneticPr fontId="13"/>
  <conditionalFormatting sqref="F6:F13">
    <cfRule type="cellIs" dxfId="0" priority="1" operator="equal">
      <formula>10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</vt:lpstr>
      <vt:lpstr>ペア一覧</vt:lpstr>
      <vt:lpstr>カテゴリー概要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中村 大志</cp:lastModifiedBy>
  <dcterms:modified xsi:type="dcterms:W3CDTF">2026-08-10T09:45:52Z</dcterms:modified>
</cp:coreProperties>
</file>